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BaiduSyncdisk\working papers\Parallel computation with Mex\code_gitrepo\"/>
    </mc:Choice>
  </mc:AlternateContent>
  <xr:revisionPtr revIDLastSave="0" documentId="13_ncr:1_{B7601822-588F-41FB-A553-F3EEBA35E963}" xr6:coauthVersionLast="47" xr6:coauthVersionMax="47" xr10:uidLastSave="{00000000-0000-0000-0000-000000000000}"/>
  <bookViews>
    <workbookView xWindow="2580" yWindow="150" windowWidth="31020" windowHeight="1851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4" i="1" l="1"/>
  <c r="S34" i="1"/>
  <c r="W15" i="1"/>
  <c r="S15" i="1"/>
  <c r="W59" i="1" l="1"/>
  <c r="S59" i="1"/>
  <c r="O59" i="1"/>
  <c r="K59" i="1"/>
  <c r="G59" i="1"/>
  <c r="C59" i="1"/>
  <c r="C60" i="1" s="1"/>
  <c r="W46" i="1"/>
  <c r="S46" i="1"/>
  <c r="O46" i="1"/>
  <c r="K46" i="1"/>
  <c r="G46" i="1"/>
  <c r="G50" i="1" s="1"/>
  <c r="C46" i="1"/>
  <c r="W25" i="1"/>
  <c r="S25" i="1"/>
  <c r="O25" i="1"/>
  <c r="K25" i="1"/>
  <c r="G25" i="1"/>
  <c r="S29" i="1" s="1"/>
  <c r="C25" i="1"/>
  <c r="W6" i="1"/>
  <c r="S6" i="1"/>
  <c r="O6" i="1"/>
  <c r="K6" i="1"/>
  <c r="G6" i="1"/>
  <c r="C6" i="1"/>
  <c r="W10" i="1" l="1"/>
  <c r="G60" i="1"/>
  <c r="K47" i="1"/>
  <c r="W63" i="1"/>
  <c r="W60" i="1"/>
  <c r="S63" i="1"/>
  <c r="W47" i="1"/>
  <c r="K60" i="1"/>
  <c r="S47" i="1"/>
  <c r="O60" i="1"/>
  <c r="O47" i="1"/>
  <c r="G63" i="1"/>
  <c r="K50" i="1"/>
  <c r="O50" i="1"/>
  <c r="S50" i="1"/>
  <c r="S60" i="1"/>
  <c r="W50" i="1"/>
  <c r="C47" i="1"/>
  <c r="K63" i="1"/>
  <c r="G47" i="1"/>
  <c r="O63" i="1"/>
  <c r="G7" i="1"/>
  <c r="O10" i="1"/>
  <c r="O29" i="1"/>
  <c r="W29" i="1"/>
  <c r="S10" i="1"/>
  <c r="S7" i="1"/>
  <c r="K26" i="1"/>
  <c r="O7" i="1"/>
  <c r="W26" i="1"/>
  <c r="O26" i="1"/>
  <c r="S26" i="1"/>
  <c r="G10" i="1"/>
  <c r="G29" i="1"/>
  <c r="C7" i="1"/>
  <c r="K10" i="1"/>
  <c r="C26" i="1"/>
  <c r="K29" i="1"/>
  <c r="G26" i="1"/>
  <c r="K7" i="1"/>
  <c r="W7" i="1"/>
</calcChain>
</file>

<file path=xl/sharedStrings.xml><?xml version="1.0" encoding="utf-8"?>
<sst xmlns="http://schemas.openxmlformats.org/spreadsheetml/2006/main" count="120" uniqueCount="14">
  <si>
    <t>nz 25 nm 25, nb 200</t>
  </si>
  <si>
    <t>Brute force</t>
  </si>
  <si>
    <t>scripted parfor</t>
  </si>
  <si>
    <t>matlab vectorized</t>
  </si>
  <si>
    <t>matlab vectorized gpuArray</t>
  </si>
  <si>
    <t>mex vectorized cuda</t>
  </si>
  <si>
    <t>matlab vectorized gpuArray A10G</t>
  </si>
  <si>
    <t>mex vectorized cuda A10G</t>
  </si>
  <si>
    <t>experiments</t>
  </si>
  <si>
    <t xml:space="preserve">  seconds</t>
  </si>
  <si>
    <t>mean</t>
  </si>
  <si>
    <t>nz 25 nm 25, nb 400</t>
  </si>
  <si>
    <t>nz 31 nm 31, nb 250</t>
  </si>
  <si>
    <t>nz 31 nm 31, nb 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</si>
</sst>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0" fillId="2" borderId="0" xfId="0" applyFill="1"/>
    <xf numFmtId="0" fontId="1" fillId="0" borderId="0" xfId="0" applyFont="1"/>
    <xf numFmtId="0" fontId="0" fillId="0" borderId="0" xfId="0" applyAlignment="1">
      <alignment vertical="center" wrapText="1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3"/>
  <sheetViews>
    <sheetView tabSelected="1" zoomScale="90" zoomScaleNormal="90" workbookViewId="0">
      <selection activeCell="V19" sqref="V19"/>
    </sheetView>
  </sheetViews>
  <sheetFormatPr defaultRowHeight="15" x14ac:dyDescent="0.25"/>
  <cols>
    <col min="1" max="1" width="10.85546875" customWidth="1"/>
    <col min="2" max="2" width="13.28515625" customWidth="1"/>
  </cols>
  <sheetData>
    <row r="1" spans="1:23" x14ac:dyDescent="0.25">
      <c r="A1" s="1" t="s">
        <v>0</v>
      </c>
    </row>
    <row r="3" spans="1:23" x14ac:dyDescent="0.25">
      <c r="A3" s="2" t="s">
        <v>1</v>
      </c>
    </row>
    <row r="4" spans="1:23" x14ac:dyDescent="0.25">
      <c r="A4" s="3" t="s">
        <v>2</v>
      </c>
      <c r="E4" s="3" t="s">
        <v>3</v>
      </c>
      <c r="I4" s="3" t="s">
        <v>4</v>
      </c>
      <c r="M4" s="3" t="s">
        <v>5</v>
      </c>
      <c r="Q4" s="3" t="s">
        <v>6</v>
      </c>
      <c r="U4" s="3" t="s">
        <v>7</v>
      </c>
    </row>
    <row r="5" spans="1:23" x14ac:dyDescent="0.25">
      <c r="A5" t="s">
        <v>8</v>
      </c>
      <c r="B5" t="s">
        <v>9</v>
      </c>
      <c r="C5" t="s">
        <v>10</v>
      </c>
      <c r="E5" t="s">
        <v>8</v>
      </c>
      <c r="F5" t="s">
        <v>9</v>
      </c>
      <c r="G5" t="s">
        <v>10</v>
      </c>
      <c r="I5" t="s">
        <v>8</v>
      </c>
      <c r="J5" t="s">
        <v>9</v>
      </c>
      <c r="K5" t="s">
        <v>10</v>
      </c>
      <c r="M5" t="s">
        <v>8</v>
      </c>
      <c r="N5" t="s">
        <v>9</v>
      </c>
      <c r="O5" t="s">
        <v>10</v>
      </c>
      <c r="Q5" t="s">
        <v>8</v>
      </c>
      <c r="R5" t="s">
        <v>9</v>
      </c>
      <c r="S5" t="s">
        <v>10</v>
      </c>
      <c r="U5" t="s">
        <v>8</v>
      </c>
      <c r="V5" t="s">
        <v>9</v>
      </c>
      <c r="W5" t="s">
        <v>10</v>
      </c>
    </row>
    <row r="6" spans="1:23" x14ac:dyDescent="0.25">
      <c r="A6">
        <v>1</v>
      </c>
      <c r="B6">
        <v>34.768241799999998</v>
      </c>
      <c r="C6">
        <f>AVERAGE(B6:B10)</f>
        <v>34.881613999999999</v>
      </c>
      <c r="E6">
        <v>1</v>
      </c>
      <c r="F6" s="4">
        <v>72.602639999999994</v>
      </c>
      <c r="G6">
        <f>AVERAGE(F6:F10)</f>
        <v>74.034463333333335</v>
      </c>
      <c r="I6">
        <v>1</v>
      </c>
      <c r="J6" s="4">
        <v>12.034840000000001</v>
      </c>
      <c r="K6">
        <f>AVERAGE(J6:J10)</f>
        <v>12.33174</v>
      </c>
      <c r="M6">
        <v>1</v>
      </c>
      <c r="N6" s="4">
        <v>9.9878499999999999</v>
      </c>
      <c r="O6">
        <f>AVERAGE(N6:N10)</f>
        <v>9.6793680000000002</v>
      </c>
      <c r="Q6">
        <v>1</v>
      </c>
      <c r="R6">
        <v>8.0437999999999992</v>
      </c>
      <c r="S6">
        <f>AVERAGE(R6:R10)</f>
        <v>8.0426199999999994</v>
      </c>
      <c r="U6">
        <v>1</v>
      </c>
      <c r="V6" s="4">
        <v>5.7903000000000002</v>
      </c>
      <c r="W6">
        <f>AVERAGE(V6:V10)</f>
        <v>5.8090600000000006</v>
      </c>
    </row>
    <row r="7" spans="1:23" x14ac:dyDescent="0.25">
      <c r="A7">
        <v>2</v>
      </c>
      <c r="B7">
        <v>34.9949862</v>
      </c>
      <c r="C7">
        <f>C6/C6</f>
        <v>1</v>
      </c>
      <c r="E7">
        <v>2</v>
      </c>
      <c r="F7" s="4">
        <v>72.791480000000007</v>
      </c>
      <c r="G7">
        <f>C6/G6</f>
        <v>0.47115373610461325</v>
      </c>
      <c r="I7">
        <v>2</v>
      </c>
      <c r="J7" s="4">
        <v>12.673019999999999</v>
      </c>
      <c r="K7">
        <f>C6/K6</f>
        <v>2.8286043980816982</v>
      </c>
      <c r="M7">
        <v>2</v>
      </c>
      <c r="N7" s="4">
        <v>9.5820100000000004</v>
      </c>
      <c r="O7">
        <f>C6/O6</f>
        <v>3.6037078040632404</v>
      </c>
      <c r="Q7">
        <v>2</v>
      </c>
      <c r="R7" s="4">
        <v>8.0472999999999999</v>
      </c>
      <c r="S7">
        <f>C6/S6</f>
        <v>4.3370958717432879</v>
      </c>
      <c r="U7">
        <v>2</v>
      </c>
      <c r="V7" s="4">
        <v>5.8132999999999999</v>
      </c>
      <c r="W7">
        <f>C6/W6</f>
        <v>6.0046916368569088</v>
      </c>
    </row>
    <row r="8" spans="1:23" x14ac:dyDescent="0.25">
      <c r="A8">
        <v>3</v>
      </c>
      <c r="E8">
        <v>3</v>
      </c>
      <c r="F8" s="4">
        <v>76.709270000000004</v>
      </c>
      <c r="I8">
        <v>3</v>
      </c>
      <c r="J8" s="4">
        <v>12.20984</v>
      </c>
      <c r="M8">
        <v>3</v>
      </c>
      <c r="N8" s="4">
        <v>9.5948200000000003</v>
      </c>
      <c r="Q8">
        <v>3</v>
      </c>
      <c r="R8" s="4">
        <v>8.0427</v>
      </c>
      <c r="U8">
        <v>3</v>
      </c>
      <c r="V8" s="4">
        <v>5.8117999999999999</v>
      </c>
    </row>
    <row r="9" spans="1:23" x14ac:dyDescent="0.25">
      <c r="A9">
        <v>4</v>
      </c>
      <c r="E9">
        <v>4</v>
      </c>
      <c r="F9" s="4"/>
      <c r="I9">
        <v>4</v>
      </c>
      <c r="J9" s="4">
        <v>12.14485</v>
      </c>
      <c r="M9">
        <v>4</v>
      </c>
      <c r="N9" s="4">
        <v>9.5771999999999995</v>
      </c>
      <c r="Q9">
        <v>4</v>
      </c>
      <c r="R9" s="4">
        <v>8.0449000000000002</v>
      </c>
      <c r="U9">
        <v>4</v>
      </c>
      <c r="V9" s="4">
        <v>5.8147000000000002</v>
      </c>
    </row>
    <row r="10" spans="1:23" x14ac:dyDescent="0.25">
      <c r="A10">
        <v>5</v>
      </c>
      <c r="E10">
        <v>5</v>
      </c>
      <c r="F10" s="4"/>
      <c r="G10">
        <f>G6/G6</f>
        <v>1</v>
      </c>
      <c r="I10">
        <v>5</v>
      </c>
      <c r="J10" s="4">
        <v>12.59615</v>
      </c>
      <c r="K10">
        <f>G6/K6</f>
        <v>6.0035699206546145</v>
      </c>
      <c r="M10">
        <v>5</v>
      </c>
      <c r="N10" s="4">
        <v>9.6549600000000009</v>
      </c>
      <c r="O10">
        <f>G6/O6</f>
        <v>7.6486877380148508</v>
      </c>
      <c r="Q10">
        <v>5</v>
      </c>
      <c r="R10" s="4">
        <v>8.0343999999999998</v>
      </c>
      <c r="S10">
        <f>G6/S6</f>
        <v>9.2052668574834247</v>
      </c>
      <c r="U10">
        <v>5</v>
      </c>
      <c r="V10" s="4">
        <v>5.8151999999999999</v>
      </c>
      <c r="W10">
        <f>G6/W6</f>
        <v>12.744654614229036</v>
      </c>
    </row>
    <row r="11" spans="1:23" x14ac:dyDescent="0.25">
      <c r="F11" s="4"/>
      <c r="J11" s="4"/>
      <c r="N11" s="4"/>
      <c r="R11" s="4"/>
      <c r="V11" s="4"/>
    </row>
    <row r="12" spans="1:23" x14ac:dyDescent="0.25">
      <c r="F12" s="4"/>
      <c r="J12" s="4"/>
      <c r="N12" s="4"/>
      <c r="R12" s="4"/>
      <c r="V12" s="4"/>
    </row>
    <row r="13" spans="1:23" x14ac:dyDescent="0.25">
      <c r="F13" s="4"/>
      <c r="J13" s="4"/>
      <c r="N13" s="4"/>
      <c r="Q13" s="3" t="s">
        <v>6</v>
      </c>
      <c r="U13" s="3" t="s">
        <v>7</v>
      </c>
    </row>
    <row r="14" spans="1:23" x14ac:dyDescent="0.25">
      <c r="F14" s="4"/>
      <c r="J14" s="4"/>
      <c r="N14" s="4"/>
      <c r="Q14" t="s">
        <v>8</v>
      </c>
      <c r="R14" t="s">
        <v>9</v>
      </c>
      <c r="S14" t="s">
        <v>10</v>
      </c>
      <c r="U14" t="s">
        <v>8</v>
      </c>
      <c r="V14" t="s">
        <v>9</v>
      </c>
      <c r="W14" t="s">
        <v>10</v>
      </c>
    </row>
    <row r="15" spans="1:23" x14ac:dyDescent="0.25">
      <c r="F15" s="4"/>
      <c r="J15" s="4"/>
      <c r="N15" s="4"/>
      <c r="Q15">
        <v>1</v>
      </c>
      <c r="R15" s="5">
        <v>6.5716999999999999</v>
      </c>
      <c r="S15">
        <f>AVERAGE(R15:R19)</f>
        <v>6.58385</v>
      </c>
      <c r="U15">
        <v>1</v>
      </c>
      <c r="V15" s="5">
        <v>4.9551999999999996</v>
      </c>
      <c r="W15">
        <f>AVERAGE(V15:V19)</f>
        <v>4.8112399999999997</v>
      </c>
    </row>
    <row r="16" spans="1:23" x14ac:dyDescent="0.25">
      <c r="F16" s="4"/>
      <c r="J16" s="4"/>
      <c r="N16" s="4"/>
      <c r="Q16">
        <v>2</v>
      </c>
      <c r="R16" s="5">
        <v>6.5442999999999998</v>
      </c>
      <c r="U16">
        <v>2</v>
      </c>
      <c r="V16" s="5">
        <v>4.7773000000000003</v>
      </c>
    </row>
    <row r="17" spans="1:23" x14ac:dyDescent="0.25">
      <c r="Q17">
        <v>3</v>
      </c>
      <c r="R17" s="5">
        <v>6.6590999999999996</v>
      </c>
      <c r="U17">
        <v>3</v>
      </c>
      <c r="V17" s="5">
        <v>4.7706</v>
      </c>
    </row>
    <row r="18" spans="1:23" x14ac:dyDescent="0.25">
      <c r="Q18">
        <v>4</v>
      </c>
      <c r="R18" s="5">
        <v>6.5602999999999998</v>
      </c>
      <c r="U18">
        <v>4</v>
      </c>
      <c r="V18" s="5">
        <v>4.7827999999999999</v>
      </c>
    </row>
    <row r="19" spans="1:23" x14ac:dyDescent="0.25">
      <c r="Q19">
        <v>5</v>
      </c>
      <c r="R19" s="4"/>
      <c r="U19">
        <v>5</v>
      </c>
      <c r="V19" s="5">
        <v>4.7702999999999998</v>
      </c>
    </row>
    <row r="20" spans="1:23" x14ac:dyDescent="0.25">
      <c r="A20" s="1" t="s">
        <v>11</v>
      </c>
    </row>
    <row r="22" spans="1:23" x14ac:dyDescent="0.25">
      <c r="A22" s="2" t="s">
        <v>1</v>
      </c>
    </row>
    <row r="23" spans="1:23" x14ac:dyDescent="0.25">
      <c r="A23" s="3" t="s">
        <v>2</v>
      </c>
      <c r="E23" s="3" t="s">
        <v>3</v>
      </c>
      <c r="I23" s="3" t="s">
        <v>4</v>
      </c>
      <c r="M23" s="3" t="s">
        <v>5</v>
      </c>
      <c r="Q23" s="3" t="s">
        <v>6</v>
      </c>
      <c r="U23" s="3" t="s">
        <v>7</v>
      </c>
    </row>
    <row r="24" spans="1:23" x14ac:dyDescent="0.25">
      <c r="A24" t="s">
        <v>8</v>
      </c>
      <c r="B24" t="s">
        <v>9</v>
      </c>
      <c r="C24" t="s">
        <v>10</v>
      </c>
      <c r="E24" t="s">
        <v>8</v>
      </c>
      <c r="F24" t="s">
        <v>9</v>
      </c>
      <c r="G24" t="s">
        <v>10</v>
      </c>
      <c r="I24" t="s">
        <v>8</v>
      </c>
      <c r="J24" t="s">
        <v>9</v>
      </c>
      <c r="K24" t="s">
        <v>10</v>
      </c>
      <c r="M24" t="s">
        <v>8</v>
      </c>
      <c r="N24" t="s">
        <v>9</v>
      </c>
      <c r="O24" t="s">
        <v>10</v>
      </c>
      <c r="Q24" t="s">
        <v>8</v>
      </c>
      <c r="R24" t="s">
        <v>9</v>
      </c>
      <c r="S24" t="s">
        <v>10</v>
      </c>
      <c r="U24" t="s">
        <v>8</v>
      </c>
      <c r="V24" t="s">
        <v>9</v>
      </c>
      <c r="W24" t="s">
        <v>10</v>
      </c>
    </row>
    <row r="25" spans="1:23" x14ac:dyDescent="0.25">
      <c r="A25">
        <v>1</v>
      </c>
      <c r="B25">
        <v>74.246122</v>
      </c>
      <c r="C25">
        <f>AVERAGE(B25:B29)</f>
        <v>71.712807174999995</v>
      </c>
      <c r="E25">
        <v>1</v>
      </c>
      <c r="F25" s="4">
        <v>288.69303000000002</v>
      </c>
      <c r="G25">
        <f>AVERAGE(F25:F29)</f>
        <v>287.02439500000003</v>
      </c>
      <c r="I25">
        <v>1</v>
      </c>
      <c r="J25" s="4">
        <v>439.36117999999999</v>
      </c>
      <c r="K25">
        <f>AVERAGE(J25:J29)</f>
        <v>427.9076</v>
      </c>
      <c r="M25">
        <v>1</v>
      </c>
      <c r="N25" s="4">
        <v>42.061320000000002</v>
      </c>
      <c r="O25">
        <f>AVERAGE(N25:N29)</f>
        <v>43.063305</v>
      </c>
      <c r="Q25">
        <v>1</v>
      </c>
      <c r="R25" s="4">
        <v>28.837800000000001</v>
      </c>
      <c r="S25">
        <f>AVERAGE(R25:R29)</f>
        <v>28.457100000000004</v>
      </c>
      <c r="U25">
        <v>1</v>
      </c>
      <c r="V25" s="4">
        <v>19.315200000000001</v>
      </c>
      <c r="W25">
        <f>AVERAGE(V25:V29)</f>
        <v>19.337720000000001</v>
      </c>
    </row>
    <row r="26" spans="1:23" x14ac:dyDescent="0.25">
      <c r="A26">
        <v>2</v>
      </c>
      <c r="B26">
        <v>69.780378900000002</v>
      </c>
      <c r="C26">
        <f>C25/C25</f>
        <v>1</v>
      </c>
      <c r="E26">
        <v>2</v>
      </c>
      <c r="F26" s="4">
        <v>285.35575999999998</v>
      </c>
      <c r="G26">
        <f>C25/G25</f>
        <v>0.24984917109571814</v>
      </c>
      <c r="I26">
        <v>2</v>
      </c>
      <c r="J26" s="4">
        <v>416.45402000000001</v>
      </c>
      <c r="K26">
        <f>C25/K25</f>
        <v>0.16758946832213309</v>
      </c>
      <c r="M26">
        <v>2</v>
      </c>
      <c r="N26" s="4">
        <v>44.495199999999997</v>
      </c>
      <c r="O26">
        <f>C25/O25</f>
        <v>1.6652880491871211</v>
      </c>
      <c r="Q26">
        <v>2</v>
      </c>
      <c r="R26" s="4">
        <v>28.3766</v>
      </c>
      <c r="S26">
        <f>C25/S25</f>
        <v>2.5200321598124891</v>
      </c>
      <c r="U26">
        <v>2</v>
      </c>
      <c r="V26" s="4">
        <v>19.3368</v>
      </c>
      <c r="W26">
        <f>C25/W25</f>
        <v>3.708441697108035</v>
      </c>
    </row>
    <row r="27" spans="1:23" x14ac:dyDescent="0.25">
      <c r="A27">
        <v>3</v>
      </c>
      <c r="B27">
        <v>72.880846399999996</v>
      </c>
      <c r="E27">
        <v>3</v>
      </c>
      <c r="F27" s="4"/>
      <c r="I27">
        <v>3</v>
      </c>
      <c r="J27" s="4"/>
      <c r="M27">
        <v>3</v>
      </c>
      <c r="N27" s="4">
        <v>42.799230000000001</v>
      </c>
      <c r="Q27">
        <v>3</v>
      </c>
      <c r="R27" s="4">
        <v>28.346299999999999</v>
      </c>
      <c r="U27">
        <v>3</v>
      </c>
      <c r="V27" s="4">
        <v>19.351199999999999</v>
      </c>
    </row>
    <row r="28" spans="1:23" x14ac:dyDescent="0.25">
      <c r="A28">
        <v>4</v>
      </c>
      <c r="B28">
        <v>69.943881399999995</v>
      </c>
      <c r="E28">
        <v>4</v>
      </c>
      <c r="F28" s="4"/>
      <c r="I28">
        <v>4</v>
      </c>
      <c r="J28" s="4"/>
      <c r="M28">
        <v>4</v>
      </c>
      <c r="N28" s="4">
        <v>42.897469999999998</v>
      </c>
      <c r="Q28">
        <v>4</v>
      </c>
      <c r="R28" s="4">
        <v>28.343900000000001</v>
      </c>
      <c r="U28">
        <v>4</v>
      </c>
      <c r="V28" s="4">
        <v>19.343599999999999</v>
      </c>
    </row>
    <row r="29" spans="1:23" x14ac:dyDescent="0.25">
      <c r="A29">
        <v>5</v>
      </c>
      <c r="E29">
        <v>5</v>
      </c>
      <c r="F29" s="4"/>
      <c r="G29">
        <f>G25/G25</f>
        <v>1</v>
      </c>
      <c r="I29">
        <v>5</v>
      </c>
      <c r="J29" s="4"/>
      <c r="K29">
        <f>G25/K25</f>
        <v>0.67076255481323543</v>
      </c>
      <c r="M29">
        <v>5</v>
      </c>
      <c r="N29" s="4"/>
      <c r="O29">
        <f>G25/O25</f>
        <v>6.665173399951537</v>
      </c>
      <c r="Q29">
        <v>5</v>
      </c>
      <c r="R29" s="4">
        <v>28.3809</v>
      </c>
      <c r="S29">
        <f>G25/S25</f>
        <v>10.08621380955895</v>
      </c>
      <c r="U29">
        <v>5</v>
      </c>
      <c r="V29" s="4">
        <v>19.341799999999999</v>
      </c>
      <c r="W29">
        <f>G25/W25</f>
        <v>14.842721634194724</v>
      </c>
    </row>
    <row r="30" spans="1:23" x14ac:dyDescent="0.25">
      <c r="F30" s="4"/>
      <c r="J30" s="4"/>
      <c r="N30" s="4"/>
      <c r="R30" s="4"/>
      <c r="V30" s="4"/>
    </row>
    <row r="31" spans="1:23" x14ac:dyDescent="0.25">
      <c r="F31" s="4"/>
      <c r="J31" s="4"/>
      <c r="N31" s="4"/>
      <c r="R31" s="4"/>
      <c r="V31" s="4"/>
    </row>
    <row r="32" spans="1:23" x14ac:dyDescent="0.25">
      <c r="F32" s="4"/>
      <c r="J32" s="4"/>
      <c r="N32" s="4"/>
      <c r="Q32" s="3" t="s">
        <v>6</v>
      </c>
      <c r="U32" s="3" t="s">
        <v>7</v>
      </c>
    </row>
    <row r="33" spans="1:23" x14ac:dyDescent="0.25">
      <c r="F33" s="4"/>
      <c r="J33" s="4"/>
      <c r="N33" s="4"/>
      <c r="Q33" t="s">
        <v>8</v>
      </c>
      <c r="R33" t="s">
        <v>9</v>
      </c>
      <c r="S33" t="s">
        <v>10</v>
      </c>
      <c r="U33" t="s">
        <v>8</v>
      </c>
      <c r="V33" t="s">
        <v>9</v>
      </c>
      <c r="W33" t="s">
        <v>10</v>
      </c>
    </row>
    <row r="34" spans="1:23" x14ac:dyDescent="0.25">
      <c r="F34" s="4"/>
      <c r="J34" s="4"/>
      <c r="N34" s="4"/>
      <c r="Q34">
        <v>1</v>
      </c>
      <c r="R34" s="4">
        <v>27.901199999999999</v>
      </c>
      <c r="S34">
        <f>AVERAGE(R34:R38)</f>
        <v>27.594466666666666</v>
      </c>
      <c r="U34">
        <v>1</v>
      </c>
      <c r="V34" s="4">
        <v>17.054099999999998</v>
      </c>
      <c r="W34">
        <f>AVERAGE(V34:V38)</f>
        <v>17.073374999999999</v>
      </c>
    </row>
    <row r="35" spans="1:23" x14ac:dyDescent="0.25">
      <c r="F35" s="4"/>
      <c r="J35" s="4"/>
      <c r="N35" s="4"/>
      <c r="Q35">
        <v>2</v>
      </c>
      <c r="R35" s="4">
        <v>27.355899999999998</v>
      </c>
      <c r="U35">
        <v>2</v>
      </c>
      <c r="V35" s="4">
        <v>17.060099999999998</v>
      </c>
    </row>
    <row r="36" spans="1:23" x14ac:dyDescent="0.25">
      <c r="F36" s="4"/>
      <c r="J36" s="4"/>
      <c r="N36" s="4"/>
      <c r="Q36">
        <v>3</v>
      </c>
      <c r="R36" s="4">
        <v>27.526299999999999</v>
      </c>
      <c r="U36">
        <v>3</v>
      </c>
      <c r="V36" s="4">
        <v>17.107900000000001</v>
      </c>
    </row>
    <row r="37" spans="1:23" x14ac:dyDescent="0.25">
      <c r="Q37">
        <v>4</v>
      </c>
      <c r="R37" s="4"/>
      <c r="U37">
        <v>4</v>
      </c>
      <c r="V37" s="4">
        <v>17.071400000000001</v>
      </c>
    </row>
    <row r="38" spans="1:23" x14ac:dyDescent="0.25">
      <c r="Q38">
        <v>5</v>
      </c>
      <c r="R38" s="4"/>
      <c r="U38">
        <v>5</v>
      </c>
      <c r="V38" s="4"/>
    </row>
    <row r="41" spans="1:23" x14ac:dyDescent="0.25">
      <c r="A41" s="1" t="s">
        <v>12</v>
      </c>
    </row>
    <row r="43" spans="1:23" x14ac:dyDescent="0.25">
      <c r="A43" s="2" t="s">
        <v>1</v>
      </c>
    </row>
    <row r="44" spans="1:23" x14ac:dyDescent="0.25">
      <c r="A44" s="3" t="s">
        <v>2</v>
      </c>
      <c r="E44" s="3" t="s">
        <v>3</v>
      </c>
      <c r="I44" s="3" t="s">
        <v>4</v>
      </c>
      <c r="M44" s="3" t="s">
        <v>5</v>
      </c>
      <c r="Q44" s="3" t="s">
        <v>6</v>
      </c>
      <c r="U44" s="3" t="s">
        <v>7</v>
      </c>
    </row>
    <row r="45" spans="1:23" x14ac:dyDescent="0.25">
      <c r="A45" t="s">
        <v>8</v>
      </c>
      <c r="B45" t="s">
        <v>9</v>
      </c>
      <c r="C45" t="s">
        <v>10</v>
      </c>
      <c r="E45" t="s">
        <v>8</v>
      </c>
      <c r="F45" t="s">
        <v>9</v>
      </c>
      <c r="G45" t="s">
        <v>10</v>
      </c>
      <c r="I45" t="s">
        <v>8</v>
      </c>
      <c r="J45" t="s">
        <v>9</v>
      </c>
      <c r="K45" t="s">
        <v>10</v>
      </c>
      <c r="M45" t="s">
        <v>8</v>
      </c>
      <c r="N45" t="s">
        <v>9</v>
      </c>
      <c r="O45" t="s">
        <v>10</v>
      </c>
      <c r="Q45" t="s">
        <v>8</v>
      </c>
      <c r="R45" t="s">
        <v>9</v>
      </c>
      <c r="S45" t="s">
        <v>10</v>
      </c>
      <c r="U45" t="s">
        <v>8</v>
      </c>
      <c r="V45" t="s">
        <v>9</v>
      </c>
      <c r="W45" t="s">
        <v>10</v>
      </c>
    </row>
    <row r="46" spans="1:23" x14ac:dyDescent="0.25">
      <c r="A46">
        <v>1</v>
      </c>
      <c r="C46" t="e">
        <f>AVERAGE(B46:B50)</f>
        <v>#DIV/0!</v>
      </c>
      <c r="E46">
        <v>1</v>
      </c>
      <c r="F46" s="4">
        <v>195.30289999999999</v>
      </c>
      <c r="G46">
        <f>AVERAGE(F46:F50)</f>
        <v>191.1985</v>
      </c>
      <c r="I46">
        <v>1</v>
      </c>
      <c r="J46" s="4">
        <v>39.242899999999999</v>
      </c>
      <c r="K46">
        <f>AVERAGE(J46:J50)</f>
        <v>34.668900000000001</v>
      </c>
      <c r="M46">
        <v>1</v>
      </c>
      <c r="N46" s="4">
        <v>27.752099999999999</v>
      </c>
      <c r="O46">
        <f>AVERAGE(N46:N50)</f>
        <v>27.935285</v>
      </c>
      <c r="Q46">
        <v>1</v>
      </c>
      <c r="R46" s="4">
        <v>31.410499999999999</v>
      </c>
      <c r="S46">
        <f>AVERAGE(R48:R50)</f>
        <v>31.394600000000001</v>
      </c>
      <c r="U46">
        <v>1</v>
      </c>
      <c r="V46">
        <v>13.0189</v>
      </c>
      <c r="W46">
        <f>AVERAGE(V48:V50)</f>
        <v>12.919499999999999</v>
      </c>
    </row>
    <row r="47" spans="1:23" x14ac:dyDescent="0.25">
      <c r="A47">
        <v>2</v>
      </c>
      <c r="C47" t="e">
        <f>C46/C46</f>
        <v>#DIV/0!</v>
      </c>
      <c r="E47">
        <v>2</v>
      </c>
      <c r="F47" s="4">
        <v>187.0941</v>
      </c>
      <c r="G47" t="e">
        <f>C46/G46</f>
        <v>#DIV/0!</v>
      </c>
      <c r="I47">
        <v>2</v>
      </c>
      <c r="J47">
        <v>32.244199999999999</v>
      </c>
      <c r="K47" t="e">
        <f>C46/K46</f>
        <v>#DIV/0!</v>
      </c>
      <c r="M47">
        <v>2</v>
      </c>
      <c r="N47" s="4">
        <v>28.118469999999999</v>
      </c>
      <c r="O47" t="e">
        <f>C46/O46</f>
        <v>#DIV/0!</v>
      </c>
      <c r="Q47">
        <v>2</v>
      </c>
      <c r="R47">
        <v>31.312639999999998</v>
      </c>
      <c r="S47" t="e">
        <f>C46/S46</f>
        <v>#DIV/0!</v>
      </c>
      <c r="U47">
        <v>2</v>
      </c>
      <c r="V47">
        <v>12.923999999999999</v>
      </c>
      <c r="W47" t="e">
        <f>C46/W46</f>
        <v>#DIV/0!</v>
      </c>
    </row>
    <row r="48" spans="1:23" x14ac:dyDescent="0.25">
      <c r="A48">
        <v>3</v>
      </c>
      <c r="E48">
        <v>3</v>
      </c>
      <c r="F48" s="4"/>
      <c r="I48">
        <v>3</v>
      </c>
      <c r="J48" s="4">
        <v>32.519599999999997</v>
      </c>
      <c r="M48">
        <v>3</v>
      </c>
      <c r="N48" s="4"/>
      <c r="Q48">
        <v>3</v>
      </c>
      <c r="R48" s="4">
        <v>31.394600000000001</v>
      </c>
      <c r="U48">
        <v>3</v>
      </c>
      <c r="V48" s="4">
        <v>12.919499999999999</v>
      </c>
    </row>
    <row r="49" spans="1:23" x14ac:dyDescent="0.25">
      <c r="A49">
        <v>4</v>
      </c>
      <c r="E49">
        <v>4</v>
      </c>
      <c r="F49" s="4"/>
      <c r="I49">
        <v>4</v>
      </c>
      <c r="J49" s="4"/>
      <c r="M49">
        <v>4</v>
      </c>
      <c r="N49" s="4"/>
      <c r="Q49">
        <v>4</v>
      </c>
      <c r="R49" s="4"/>
      <c r="U49">
        <v>4</v>
      </c>
      <c r="V49" s="4"/>
    </row>
    <row r="50" spans="1:23" x14ac:dyDescent="0.25">
      <c r="A50">
        <v>5</v>
      </c>
      <c r="E50">
        <v>5</v>
      </c>
      <c r="F50" s="4"/>
      <c r="G50">
        <f>G46/G46</f>
        <v>1</v>
      </c>
      <c r="I50">
        <v>5</v>
      </c>
      <c r="J50" s="4"/>
      <c r="K50">
        <f>G46/K46</f>
        <v>5.5149860537830735</v>
      </c>
      <c r="M50">
        <v>5</v>
      </c>
      <c r="N50" s="4"/>
      <c r="O50">
        <f>G46/O46</f>
        <v>6.8443368306426802</v>
      </c>
      <c r="Q50">
        <v>5</v>
      </c>
      <c r="R50" s="4"/>
      <c r="S50">
        <f>G46/S46</f>
        <v>6.0901715581660536</v>
      </c>
      <c r="U50">
        <v>5</v>
      </c>
      <c r="V50" s="4"/>
      <c r="W50">
        <f>G46/W46</f>
        <v>14.799218235999845</v>
      </c>
    </row>
    <row r="54" spans="1:23" x14ac:dyDescent="0.25">
      <c r="A54" s="1" t="s">
        <v>13</v>
      </c>
    </row>
    <row r="56" spans="1:23" x14ac:dyDescent="0.25">
      <c r="A56" s="2" t="s">
        <v>1</v>
      </c>
    </row>
    <row r="57" spans="1:23" x14ac:dyDescent="0.25">
      <c r="A57" s="3" t="s">
        <v>2</v>
      </c>
      <c r="E57" s="3" t="s">
        <v>3</v>
      </c>
      <c r="I57" s="3" t="s">
        <v>4</v>
      </c>
      <c r="M57" s="3" t="s">
        <v>5</v>
      </c>
      <c r="Q57" s="3" t="s">
        <v>6</v>
      </c>
      <c r="U57" s="3" t="s">
        <v>7</v>
      </c>
    </row>
    <row r="58" spans="1:23" x14ac:dyDescent="0.25">
      <c r="A58" t="s">
        <v>8</v>
      </c>
      <c r="B58" t="s">
        <v>9</v>
      </c>
      <c r="C58" t="s">
        <v>10</v>
      </c>
      <c r="E58" t="s">
        <v>8</v>
      </c>
      <c r="F58" t="s">
        <v>9</v>
      </c>
      <c r="G58" t="s">
        <v>10</v>
      </c>
      <c r="I58" t="s">
        <v>8</v>
      </c>
      <c r="J58" t="s">
        <v>9</v>
      </c>
      <c r="K58" t="s">
        <v>10</v>
      </c>
      <c r="M58" t="s">
        <v>8</v>
      </c>
      <c r="N58" t="s">
        <v>9</v>
      </c>
      <c r="O58" t="s">
        <v>10</v>
      </c>
      <c r="Q58" t="s">
        <v>8</v>
      </c>
      <c r="R58" t="s">
        <v>9</v>
      </c>
      <c r="S58" t="s">
        <v>10</v>
      </c>
      <c r="U58" t="s">
        <v>8</v>
      </c>
      <c r="V58" t="s">
        <v>9</v>
      </c>
      <c r="W58" t="s">
        <v>10</v>
      </c>
    </row>
    <row r="59" spans="1:23" x14ac:dyDescent="0.25">
      <c r="A59">
        <v>1</v>
      </c>
      <c r="C59" t="e">
        <f>AVERAGE(B59:B63)</f>
        <v>#DIV/0!</v>
      </c>
      <c r="E59">
        <v>1</v>
      </c>
      <c r="F59" s="4">
        <v>825.73109999999997</v>
      </c>
      <c r="G59">
        <f>AVERAGE(F59:F63)</f>
        <v>825.73109999999997</v>
      </c>
      <c r="I59">
        <v>1</v>
      </c>
      <c r="J59" s="4"/>
      <c r="K59" t="e">
        <f>AVERAGE(J59:J63)</f>
        <v>#DIV/0!</v>
      </c>
      <c r="M59">
        <v>1</v>
      </c>
      <c r="N59" s="4"/>
      <c r="O59" t="e">
        <f>AVERAGE(N59:N63)</f>
        <v>#DIV/0!</v>
      </c>
      <c r="Q59">
        <v>1</v>
      </c>
      <c r="R59">
        <v>180.06778</v>
      </c>
      <c r="S59">
        <f>AVERAGE(R59:R63)</f>
        <v>180.31516499999998</v>
      </c>
      <c r="U59">
        <v>1</v>
      </c>
      <c r="V59" s="4">
        <v>57.258789999999998</v>
      </c>
      <c r="W59">
        <f>AVERAGE(V59:V63)</f>
        <v>57.263156666666667</v>
      </c>
    </row>
    <row r="60" spans="1:23" x14ac:dyDescent="0.25">
      <c r="A60">
        <v>2</v>
      </c>
      <c r="C60" t="e">
        <f>C59/C59</f>
        <v>#DIV/0!</v>
      </c>
      <c r="E60">
        <v>2</v>
      </c>
      <c r="F60" s="4"/>
      <c r="G60" t="e">
        <f>C59/G59</f>
        <v>#DIV/0!</v>
      </c>
      <c r="I60">
        <v>2</v>
      </c>
      <c r="J60" s="4"/>
      <c r="K60" t="e">
        <f>C59/K59</f>
        <v>#DIV/0!</v>
      </c>
      <c r="M60">
        <v>2</v>
      </c>
      <c r="N60" s="4"/>
      <c r="O60" t="e">
        <f>C59/O59</f>
        <v>#DIV/0!</v>
      </c>
      <c r="Q60">
        <v>2</v>
      </c>
      <c r="R60" s="4">
        <v>180.56254999999999</v>
      </c>
      <c r="S60" t="e">
        <f>C59/S59</f>
        <v>#DIV/0!</v>
      </c>
      <c r="U60">
        <v>2</v>
      </c>
      <c r="V60" s="4">
        <v>57.252110000000002</v>
      </c>
      <c r="W60" t="e">
        <f>C59/W59</f>
        <v>#DIV/0!</v>
      </c>
    </row>
    <row r="61" spans="1:23" x14ac:dyDescent="0.25">
      <c r="A61">
        <v>3</v>
      </c>
      <c r="E61">
        <v>3</v>
      </c>
      <c r="F61" s="4"/>
      <c r="I61">
        <v>3</v>
      </c>
      <c r="J61" s="4"/>
      <c r="M61">
        <v>3</v>
      </c>
      <c r="N61" s="4"/>
      <c r="Q61">
        <v>3</v>
      </c>
      <c r="R61" s="4"/>
      <c r="U61">
        <v>3</v>
      </c>
      <c r="V61" s="4">
        <v>57.278570000000002</v>
      </c>
    </row>
    <row r="62" spans="1:23" x14ac:dyDescent="0.25">
      <c r="A62">
        <v>4</v>
      </c>
      <c r="E62">
        <v>4</v>
      </c>
      <c r="F62" s="4"/>
      <c r="I62">
        <v>4</v>
      </c>
      <c r="J62" s="4"/>
      <c r="M62">
        <v>4</v>
      </c>
      <c r="N62" s="4"/>
      <c r="Q62">
        <v>4</v>
      </c>
      <c r="R62" s="4"/>
      <c r="U62">
        <v>4</v>
      </c>
      <c r="V62" s="4"/>
    </row>
    <row r="63" spans="1:23" x14ac:dyDescent="0.25">
      <c r="A63">
        <v>5</v>
      </c>
      <c r="E63">
        <v>5</v>
      </c>
      <c r="F63" s="4"/>
      <c r="G63">
        <f>G59/G59</f>
        <v>1</v>
      </c>
      <c r="I63">
        <v>5</v>
      </c>
      <c r="J63" s="4"/>
      <c r="K63" t="e">
        <f>G59/K59</f>
        <v>#DIV/0!</v>
      </c>
      <c r="M63">
        <v>5</v>
      </c>
      <c r="N63" s="4"/>
      <c r="O63" t="e">
        <f>G59/O59</f>
        <v>#DIV/0!</v>
      </c>
      <c r="Q63">
        <v>5</v>
      </c>
      <c r="R63" s="4"/>
      <c r="S63">
        <f>G59/S59</f>
        <v>4.5793768926756666</v>
      </c>
      <c r="U63">
        <v>5</v>
      </c>
      <c r="V63" s="4"/>
      <c r="W63">
        <f>G59/W59</f>
        <v>14.419936798221682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时梁</dc:creator>
  <cp:lastModifiedBy>Shi, Liang</cp:lastModifiedBy>
  <dcterms:created xsi:type="dcterms:W3CDTF">2015-06-05T18:17:20Z</dcterms:created>
  <dcterms:modified xsi:type="dcterms:W3CDTF">2026-06-05T17:58:07Z</dcterms:modified>
</cp:coreProperties>
</file>