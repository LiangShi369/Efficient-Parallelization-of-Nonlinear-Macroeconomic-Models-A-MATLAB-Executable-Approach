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BaiduSyncdisk\working papers\Parallel computation with Mex\code_gitrepo\"/>
    </mc:Choice>
  </mc:AlternateContent>
  <xr:revisionPtr revIDLastSave="0" documentId="13_ncr:1_{C31667C6-2BFC-4A71-8769-2C27F449E72E}" xr6:coauthVersionLast="47" xr6:coauthVersionMax="47" xr10:uidLastSave="{00000000-0000-0000-0000-000000000000}"/>
  <bookViews>
    <workbookView xWindow="5820" yWindow="1695" windowWidth="29055" windowHeight="185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6" i="1" l="1"/>
  <c r="W37" i="1" s="1"/>
  <c r="S36" i="1"/>
  <c r="S37" i="1" s="1"/>
  <c r="W16" i="1"/>
  <c r="W15" i="1"/>
  <c r="S15" i="1"/>
  <c r="S16" i="1" s="1"/>
  <c r="W26" i="1"/>
  <c r="W6" i="1"/>
  <c r="S26" i="1" l="1"/>
  <c r="S6" i="1"/>
  <c r="C26" i="1" l="1"/>
  <c r="C6" i="1"/>
  <c r="AE26" i="1"/>
  <c r="AE6" i="1"/>
  <c r="AI26" i="1"/>
  <c r="AI6" i="1"/>
  <c r="AA26" i="1"/>
  <c r="AA6" i="1"/>
  <c r="O26" i="1"/>
  <c r="K26" i="1"/>
  <c r="G26" i="1"/>
  <c r="G6" i="1"/>
  <c r="K6" i="1"/>
  <c r="O6" i="1"/>
  <c r="S7" i="1" l="1"/>
  <c r="W7" i="1"/>
  <c r="AA7" i="1"/>
  <c r="AI7" i="1"/>
  <c r="S27" i="1"/>
  <c r="W27" i="1"/>
  <c r="AE27" i="1"/>
  <c r="C7" i="1"/>
  <c r="O7" i="1"/>
  <c r="C27" i="1"/>
  <c r="O27" i="1"/>
  <c r="K27" i="1"/>
  <c r="AA27" i="1"/>
  <c r="AE7" i="1"/>
  <c r="G27" i="1"/>
  <c r="K7" i="1"/>
  <c r="AI27" i="1"/>
  <c r="G7" i="1"/>
</calcChain>
</file>

<file path=xl/sharedStrings.xml><?xml version="1.0" encoding="utf-8"?>
<sst xmlns="http://schemas.openxmlformats.org/spreadsheetml/2006/main" count="93" uniqueCount="17">
  <si>
    <t>Brute force</t>
  </si>
  <si>
    <t>experiments</t>
  </si>
  <si>
    <t xml:space="preserve">  seconds</t>
  </si>
  <si>
    <t>mean</t>
  </si>
  <si>
    <t>scripted serial</t>
  </si>
  <si>
    <t>mex parfor</t>
  </si>
  <si>
    <t>mex cuda</t>
  </si>
  <si>
    <t>mex serial</t>
  </si>
  <si>
    <t>mex cuda variable size nk=1000; ns = 1000</t>
  </si>
  <si>
    <t>mex parfor variable size nk=1000; ns = 1000</t>
  </si>
  <si>
    <t>nz 25, ng 25, nb 400</t>
  </si>
  <si>
    <t>scripted parfor</t>
  </si>
  <si>
    <t>nz 25, ng 25, nb 200</t>
  </si>
  <si>
    <t>mex cuda A10G aws g5.xlarge</t>
  </si>
  <si>
    <t>mex parfor EPYC 7R13 aws c6a.8xlarge</t>
  </si>
  <si>
    <t>mex cuda rtx5070</t>
  </si>
  <si>
    <t>mex parfor core ultra 265k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</si>
</sst>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11" fontId="0" fillId="0" borderId="0" xfId="0" applyNumberFormat="1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0"/>
  <sheetViews>
    <sheetView tabSelected="1" zoomScale="80" zoomScaleNormal="80" workbookViewId="0">
      <selection activeCell="AC43" sqref="AC43"/>
    </sheetView>
  </sheetViews>
  <sheetFormatPr defaultRowHeight="15" x14ac:dyDescent="0.25"/>
  <cols>
    <col min="1" max="1" width="8" customWidth="1"/>
    <col min="2" max="2" width="11.140625" customWidth="1"/>
    <col min="3" max="3" width="10.140625" customWidth="1"/>
    <col min="4" max="4" width="4.85546875" customWidth="1"/>
    <col min="5" max="5" width="7.140625" customWidth="1"/>
    <col min="8" max="8" width="5.5703125" customWidth="1"/>
    <col min="9" max="9" width="7.140625" customWidth="1"/>
    <col min="12" max="12" width="5.7109375" customWidth="1"/>
    <col min="13" max="13" width="7.5703125" customWidth="1"/>
    <col min="16" max="16" width="5.140625" customWidth="1"/>
    <col min="17" max="17" width="7.5703125" customWidth="1"/>
    <col min="25" max="25" width="7.28515625" customWidth="1"/>
    <col min="28" max="28" width="5" customWidth="1"/>
    <col min="29" max="29" width="8.140625" customWidth="1"/>
    <col min="32" max="32" width="20.7109375" customWidth="1"/>
    <col min="33" max="33" width="7.28515625" customWidth="1"/>
  </cols>
  <sheetData>
    <row r="1" spans="1:35" x14ac:dyDescent="0.25">
      <c r="A1" t="s">
        <v>12</v>
      </c>
    </row>
    <row r="3" spans="1:35" x14ac:dyDescent="0.25">
      <c r="A3" s="1" t="s">
        <v>0</v>
      </c>
    </row>
    <row r="4" spans="1:35" x14ac:dyDescent="0.25">
      <c r="A4" s="2" t="s">
        <v>11</v>
      </c>
      <c r="E4" s="2" t="s">
        <v>4</v>
      </c>
      <c r="I4" s="2" t="s">
        <v>5</v>
      </c>
      <c r="M4" s="2" t="s">
        <v>6</v>
      </c>
      <c r="Q4" s="2" t="s">
        <v>13</v>
      </c>
      <c r="U4" s="2" t="s">
        <v>14</v>
      </c>
      <c r="Y4" s="2" t="s">
        <v>7</v>
      </c>
      <c r="AC4" s="2" t="s">
        <v>9</v>
      </c>
      <c r="AG4" s="2" t="s">
        <v>8</v>
      </c>
    </row>
    <row r="5" spans="1:35" x14ac:dyDescent="0.25">
      <c r="A5" t="s">
        <v>1</v>
      </c>
      <c r="B5" t="s">
        <v>2</v>
      </c>
      <c r="C5" t="s">
        <v>3</v>
      </c>
      <c r="E5" t="s">
        <v>1</v>
      </c>
      <c r="F5" t="s">
        <v>2</v>
      </c>
      <c r="G5" t="s">
        <v>3</v>
      </c>
      <c r="I5" t="s">
        <v>1</v>
      </c>
      <c r="J5" t="s">
        <v>2</v>
      </c>
      <c r="K5" t="s">
        <v>3</v>
      </c>
      <c r="M5" t="s">
        <v>1</v>
      </c>
      <c r="N5" t="s">
        <v>2</v>
      </c>
      <c r="O5" t="s">
        <v>3</v>
      </c>
      <c r="Q5" t="s">
        <v>1</v>
      </c>
      <c r="R5" t="s">
        <v>2</v>
      </c>
      <c r="S5" t="s">
        <v>3</v>
      </c>
      <c r="U5" t="s">
        <v>1</v>
      </c>
      <c r="V5" t="s">
        <v>2</v>
      </c>
      <c r="W5" t="s">
        <v>3</v>
      </c>
      <c r="Y5" t="s">
        <v>1</v>
      </c>
      <c r="Z5" t="s">
        <v>2</v>
      </c>
      <c r="AA5" t="s">
        <v>3</v>
      </c>
      <c r="AC5" t="s">
        <v>1</v>
      </c>
      <c r="AD5" t="s">
        <v>2</v>
      </c>
      <c r="AE5" t="s">
        <v>3</v>
      </c>
      <c r="AG5" t="s">
        <v>1</v>
      </c>
      <c r="AH5" t="s">
        <v>2</v>
      </c>
      <c r="AI5" t="s">
        <v>3</v>
      </c>
    </row>
    <row r="6" spans="1:35" x14ac:dyDescent="0.25">
      <c r="A6">
        <v>1</v>
      </c>
      <c r="B6" s="3">
        <v>3077.2</v>
      </c>
      <c r="C6">
        <f>AVERAGE(B6:B10)</f>
        <v>3077.2</v>
      </c>
      <c r="E6">
        <v>1</v>
      </c>
      <c r="F6">
        <v>102.5012</v>
      </c>
      <c r="G6">
        <f>AVERAGE(F6:F10)</f>
        <v>101.5779</v>
      </c>
      <c r="I6">
        <v>1</v>
      </c>
      <c r="J6">
        <v>11.896000000000001</v>
      </c>
      <c r="K6">
        <f>AVERAGE(J6:J10)</f>
        <v>11.994325</v>
      </c>
      <c r="M6">
        <v>1</v>
      </c>
      <c r="N6">
        <v>4.6902999999999997</v>
      </c>
      <c r="O6">
        <f>AVERAGE(N6:N10)</f>
        <v>4.6750749999999996</v>
      </c>
      <c r="Q6">
        <v>1</v>
      </c>
      <c r="R6">
        <v>5.2915000000000001</v>
      </c>
      <c r="S6">
        <f>AVERAGE(R6:R10)</f>
        <v>5.2532119999999995</v>
      </c>
      <c r="U6">
        <v>1</v>
      </c>
      <c r="V6">
        <v>9.9908999999999999</v>
      </c>
      <c r="W6">
        <f>AVERAGE(V6:V10)</f>
        <v>9.986340000000002</v>
      </c>
      <c r="Y6">
        <v>1</v>
      </c>
      <c r="Z6">
        <v>52.9587</v>
      </c>
      <c r="AA6">
        <f>AVERAGE(Z6:Z10)</f>
        <v>53.074249999999999</v>
      </c>
      <c r="AC6">
        <v>1</v>
      </c>
      <c r="AD6">
        <v>19.1357</v>
      </c>
      <c r="AE6">
        <f>AVERAGE(AD6:AD10)</f>
        <v>19.248166666666666</v>
      </c>
      <c r="AG6">
        <v>1</v>
      </c>
      <c r="AH6">
        <v>5.4640000000000004</v>
      </c>
      <c r="AI6">
        <f>AVERAGE(AH6:AH10)</f>
        <v>5.4619999999999997</v>
      </c>
    </row>
    <row r="7" spans="1:35" x14ac:dyDescent="0.25">
      <c r="A7">
        <v>2</v>
      </c>
      <c r="C7">
        <f>C6/C6</f>
        <v>1</v>
      </c>
      <c r="E7">
        <v>2</v>
      </c>
      <c r="F7">
        <v>100.6546</v>
      </c>
      <c r="G7">
        <f>C6/G6</f>
        <v>30.293991114208897</v>
      </c>
      <c r="I7">
        <v>2</v>
      </c>
      <c r="J7">
        <v>11.811400000000001</v>
      </c>
      <c r="K7">
        <f>C6/K6</f>
        <v>256.55466230905029</v>
      </c>
      <c r="M7">
        <v>2</v>
      </c>
      <c r="N7">
        <v>4.6642000000000001</v>
      </c>
      <c r="O7">
        <f>$C$6/O6</f>
        <v>658.21403934696241</v>
      </c>
      <c r="Q7">
        <v>2</v>
      </c>
      <c r="R7">
        <v>5.2942999999999998</v>
      </c>
      <c r="S7">
        <f>$C6/S6</f>
        <v>585.77495063972287</v>
      </c>
      <c r="U7">
        <v>2</v>
      </c>
      <c r="V7">
        <v>9.9786999999999999</v>
      </c>
      <c r="W7">
        <f>$C6/W6</f>
        <v>308.14092049739935</v>
      </c>
      <c r="Y7">
        <v>2</v>
      </c>
      <c r="Z7">
        <v>53.189799999999998</v>
      </c>
      <c r="AA7">
        <f>C6/AA6</f>
        <v>57.979151848589474</v>
      </c>
      <c r="AC7">
        <v>2</v>
      </c>
      <c r="AD7">
        <v>19.221599999999999</v>
      </c>
      <c r="AE7">
        <f>C6/AE6</f>
        <v>159.86977114703564</v>
      </c>
      <c r="AG7">
        <v>2</v>
      </c>
      <c r="AH7">
        <v>5.4512999999999998</v>
      </c>
      <c r="AI7">
        <f>C6/AI6</f>
        <v>563.38337605272795</v>
      </c>
    </row>
    <row r="8" spans="1:35" x14ac:dyDescent="0.25">
      <c r="A8">
        <v>3</v>
      </c>
      <c r="E8">
        <v>3</v>
      </c>
      <c r="I8">
        <v>3</v>
      </c>
      <c r="J8">
        <v>12.1828</v>
      </c>
      <c r="M8">
        <v>3</v>
      </c>
      <c r="N8">
        <v>4.6764999999999999</v>
      </c>
      <c r="Q8">
        <v>3</v>
      </c>
      <c r="R8">
        <v>5.2274000000000003</v>
      </c>
      <c r="U8">
        <v>3</v>
      </c>
      <c r="V8">
        <v>10.017200000000001</v>
      </c>
      <c r="Y8">
        <v>3</v>
      </c>
      <c r="AC8">
        <v>3</v>
      </c>
      <c r="AD8">
        <v>19.3872</v>
      </c>
      <c r="AG8">
        <v>3</v>
      </c>
      <c r="AH8">
        <v>5.4706999999999999</v>
      </c>
    </row>
    <row r="9" spans="1:35" x14ac:dyDescent="0.25">
      <c r="A9">
        <v>4</v>
      </c>
      <c r="E9">
        <v>4</v>
      </c>
      <c r="I9">
        <v>4</v>
      </c>
      <c r="J9">
        <v>12.0871</v>
      </c>
      <c r="M9">
        <v>4</v>
      </c>
      <c r="N9">
        <v>4.6692999999999998</v>
      </c>
      <c r="Q9">
        <v>4</v>
      </c>
      <c r="R9">
        <v>5.2295600000000002</v>
      </c>
      <c r="U9">
        <v>4</v>
      </c>
      <c r="V9">
        <v>9.9791000000000007</v>
      </c>
      <c r="Y9">
        <v>4</v>
      </c>
      <c r="AC9">
        <v>4</v>
      </c>
      <c r="AG9">
        <v>4</v>
      </c>
    </row>
    <row r="10" spans="1:35" x14ac:dyDescent="0.25">
      <c r="A10">
        <v>5</v>
      </c>
      <c r="E10">
        <v>5</v>
      </c>
      <c r="I10">
        <v>5</v>
      </c>
      <c r="M10">
        <v>5</v>
      </c>
      <c r="Q10">
        <v>5</v>
      </c>
      <c r="R10">
        <v>5.2233000000000001</v>
      </c>
      <c r="U10">
        <v>5</v>
      </c>
      <c r="V10">
        <v>9.9657999999999998</v>
      </c>
      <c r="Y10">
        <v>5</v>
      </c>
      <c r="AC10">
        <v>5</v>
      </c>
      <c r="AG10">
        <v>5</v>
      </c>
    </row>
    <row r="13" spans="1:35" x14ac:dyDescent="0.25">
      <c r="Q13" s="2" t="s">
        <v>15</v>
      </c>
      <c r="U13" s="2" t="s">
        <v>16</v>
      </c>
      <c r="AC13" s="2"/>
      <c r="AG13" s="2"/>
    </row>
    <row r="14" spans="1:35" x14ac:dyDescent="0.25">
      <c r="Q14" t="s">
        <v>1</v>
      </c>
      <c r="R14" t="s">
        <v>2</v>
      </c>
      <c r="S14" t="s">
        <v>3</v>
      </c>
      <c r="U14" t="s">
        <v>1</v>
      </c>
      <c r="V14" t="s">
        <v>2</v>
      </c>
      <c r="W14" t="s">
        <v>3</v>
      </c>
    </row>
    <row r="15" spans="1:35" x14ac:dyDescent="0.25">
      <c r="Q15">
        <v>1</v>
      </c>
      <c r="R15">
        <v>1.6940999999999999</v>
      </c>
      <c r="S15">
        <f>AVERAGE(R15:R19)</f>
        <v>1.70048</v>
      </c>
      <c r="U15">
        <v>1</v>
      </c>
      <c r="V15">
        <v>2.9855999999999998</v>
      </c>
      <c r="W15">
        <f>AVERAGE(V15:V19)</f>
        <v>2.9922400000000002</v>
      </c>
    </row>
    <row r="16" spans="1:35" x14ac:dyDescent="0.25">
      <c r="Q16">
        <v>2</v>
      </c>
      <c r="R16">
        <v>1.6903999999999999</v>
      </c>
      <c r="S16">
        <f>C6/S15</f>
        <v>1809.6066992849078</v>
      </c>
      <c r="U16">
        <v>2</v>
      </c>
      <c r="V16">
        <v>3.0181</v>
      </c>
      <c r="W16">
        <f>C6/W6</f>
        <v>308.14092049739935</v>
      </c>
      <c r="AD16" s="4"/>
      <c r="AH16" s="4"/>
    </row>
    <row r="17" spans="1:35" x14ac:dyDescent="0.25">
      <c r="Q17">
        <v>3</v>
      </c>
      <c r="R17">
        <v>1.6669</v>
      </c>
      <c r="U17">
        <v>3</v>
      </c>
      <c r="V17">
        <v>2.9918</v>
      </c>
      <c r="AD17" s="4"/>
      <c r="AH17" s="4"/>
    </row>
    <row r="18" spans="1:35" x14ac:dyDescent="0.25">
      <c r="Q18">
        <v>4</v>
      </c>
      <c r="R18">
        <v>1.7450000000000001</v>
      </c>
      <c r="U18">
        <v>4</v>
      </c>
      <c r="V18">
        <v>2.9569999999999999</v>
      </c>
      <c r="AD18" s="4"/>
      <c r="AH18" s="4"/>
    </row>
    <row r="19" spans="1:35" x14ac:dyDescent="0.25">
      <c r="Q19">
        <v>5</v>
      </c>
      <c r="R19">
        <v>1.706</v>
      </c>
      <c r="U19">
        <v>5</v>
      </c>
      <c r="V19">
        <v>3.0087000000000002</v>
      </c>
    </row>
    <row r="21" spans="1:35" x14ac:dyDescent="0.25">
      <c r="A21" t="s">
        <v>10</v>
      </c>
    </row>
    <row r="23" spans="1:35" x14ac:dyDescent="0.25">
      <c r="A23" s="1" t="s">
        <v>0</v>
      </c>
      <c r="E23" s="1" t="s">
        <v>0</v>
      </c>
    </row>
    <row r="24" spans="1:35" x14ac:dyDescent="0.25">
      <c r="A24" s="2" t="s">
        <v>11</v>
      </c>
      <c r="E24" s="2" t="s">
        <v>4</v>
      </c>
      <c r="I24" s="2" t="s">
        <v>5</v>
      </c>
      <c r="M24" s="2" t="s">
        <v>6</v>
      </c>
      <c r="Q24" s="2" t="s">
        <v>13</v>
      </c>
      <c r="U24" s="2" t="s">
        <v>14</v>
      </c>
      <c r="Y24" s="2" t="s">
        <v>7</v>
      </c>
      <c r="AC24" s="2" t="s">
        <v>9</v>
      </c>
      <c r="AG24" s="2" t="s">
        <v>8</v>
      </c>
    </row>
    <row r="25" spans="1:35" x14ac:dyDescent="0.25">
      <c r="A25" t="s">
        <v>1</v>
      </c>
      <c r="B25" t="s">
        <v>2</v>
      </c>
      <c r="C25" t="s">
        <v>3</v>
      </c>
      <c r="E25" t="s">
        <v>1</v>
      </c>
      <c r="F25" t="s">
        <v>2</v>
      </c>
      <c r="G25" t="s">
        <v>3</v>
      </c>
      <c r="I25" t="s">
        <v>1</v>
      </c>
      <c r="J25" t="s">
        <v>2</v>
      </c>
      <c r="K25" t="s">
        <v>3</v>
      </c>
      <c r="M25" t="s">
        <v>1</v>
      </c>
      <c r="N25" t="s">
        <v>2</v>
      </c>
      <c r="O25" t="s">
        <v>3</v>
      </c>
      <c r="Q25" t="s">
        <v>1</v>
      </c>
      <c r="R25" t="s">
        <v>2</v>
      </c>
      <c r="S25" t="s">
        <v>3</v>
      </c>
      <c r="U25" t="s">
        <v>1</v>
      </c>
      <c r="V25" t="s">
        <v>2</v>
      </c>
      <c r="W25" t="s">
        <v>3</v>
      </c>
      <c r="Y25" t="s">
        <v>1</v>
      </c>
      <c r="Z25" t="s">
        <v>2</v>
      </c>
      <c r="AA25" t="s">
        <v>3</v>
      </c>
      <c r="AC25" t="s">
        <v>1</v>
      </c>
      <c r="AD25" t="s">
        <v>2</v>
      </c>
      <c r="AE25" t="s">
        <v>3</v>
      </c>
      <c r="AG25" t="s">
        <v>1</v>
      </c>
      <c r="AH25" t="s">
        <v>2</v>
      </c>
      <c r="AI25" t="s">
        <v>3</v>
      </c>
    </row>
    <row r="26" spans="1:35" x14ac:dyDescent="0.25">
      <c r="A26">
        <v>1</v>
      </c>
      <c r="B26" s="3">
        <v>15988</v>
      </c>
      <c r="C26">
        <f>AVERAGE(B26:B30)</f>
        <v>15988</v>
      </c>
      <c r="E26">
        <v>1</v>
      </c>
      <c r="F26">
        <v>372.452</v>
      </c>
      <c r="G26">
        <f>AVERAGE(F26:F30)</f>
        <v>372.452</v>
      </c>
      <c r="I26">
        <v>1</v>
      </c>
      <c r="J26">
        <v>50.509799999999998</v>
      </c>
      <c r="K26">
        <f>AVERAGE(J26:J30)</f>
        <v>49.682233333333329</v>
      </c>
      <c r="M26">
        <v>1</v>
      </c>
      <c r="N26">
        <v>13.645</v>
      </c>
      <c r="O26">
        <f>AVERAGE(N26:N30)</f>
        <v>13.560333333333332</v>
      </c>
      <c r="Q26">
        <v>1</v>
      </c>
      <c r="R26">
        <v>16.2502</v>
      </c>
      <c r="S26">
        <f>AVERAGE(R26:R30)</f>
        <v>16.26098</v>
      </c>
      <c r="U26">
        <v>1</v>
      </c>
      <c r="V26">
        <v>26.849019999999999</v>
      </c>
      <c r="W26">
        <f>AVERAGE(V26:V30)</f>
        <v>32.599663999999997</v>
      </c>
      <c r="Y26">
        <v>1</v>
      </c>
      <c r="Z26">
        <v>185.9085</v>
      </c>
      <c r="AA26">
        <f>AVERAGE(Z26:Z30)</f>
        <v>185.9085</v>
      </c>
      <c r="AC26">
        <v>1</v>
      </c>
      <c r="AD26">
        <v>65.387299999999996</v>
      </c>
      <c r="AE26">
        <f>AVERAGE(AD26:AD30)</f>
        <v>66.050299999999993</v>
      </c>
      <c r="AG26">
        <v>1</v>
      </c>
      <c r="AH26">
        <v>14.3139</v>
      </c>
      <c r="AI26">
        <f>AVERAGE(AH26:AH30)</f>
        <v>14.347166666666666</v>
      </c>
    </row>
    <row r="27" spans="1:35" x14ac:dyDescent="0.25">
      <c r="A27">
        <v>2</v>
      </c>
      <c r="C27">
        <f>C26/C26</f>
        <v>1</v>
      </c>
      <c r="E27">
        <v>2</v>
      </c>
      <c r="G27">
        <f>C26/G26</f>
        <v>42.92633681655623</v>
      </c>
      <c r="I27">
        <v>2</v>
      </c>
      <c r="J27">
        <v>48.589599999999997</v>
      </c>
      <c r="K27">
        <f>C26/K26</f>
        <v>321.80517918209529</v>
      </c>
      <c r="M27">
        <v>2</v>
      </c>
      <c r="N27">
        <v>13.500999999999999</v>
      </c>
      <c r="O27">
        <f>$C$26/O26</f>
        <v>1179.0270642314595</v>
      </c>
      <c r="Q27">
        <v>2</v>
      </c>
      <c r="R27">
        <v>16.279800000000002</v>
      </c>
      <c r="S27">
        <f>$C26/S26</f>
        <v>983.21257390390986</v>
      </c>
      <c r="U27">
        <v>2</v>
      </c>
      <c r="V27">
        <v>33.915300000000002</v>
      </c>
      <c r="W27">
        <f>$C26/W26</f>
        <v>490.43450263781864</v>
      </c>
      <c r="Y27">
        <v>2</v>
      </c>
      <c r="AA27">
        <f>C26/AA26</f>
        <v>85.999295352283511</v>
      </c>
      <c r="AC27">
        <v>2</v>
      </c>
      <c r="AD27">
        <v>65.768199999999993</v>
      </c>
      <c r="AE27">
        <f>C26/AE26</f>
        <v>242.05794674664614</v>
      </c>
      <c r="AG27">
        <v>2</v>
      </c>
      <c r="AH27">
        <v>14.389200000000001</v>
      </c>
      <c r="AI27">
        <f>C26/AI26</f>
        <v>1114.3663673431456</v>
      </c>
    </row>
    <row r="28" spans="1:35" x14ac:dyDescent="0.25">
      <c r="A28">
        <v>3</v>
      </c>
      <c r="E28">
        <v>3</v>
      </c>
      <c r="I28">
        <v>3</v>
      </c>
      <c r="J28">
        <v>49.947299999999998</v>
      </c>
      <c r="M28">
        <v>3</v>
      </c>
      <c r="N28">
        <v>13.535</v>
      </c>
      <c r="Q28">
        <v>3</v>
      </c>
      <c r="R28">
        <v>16.305900000000001</v>
      </c>
      <c r="U28">
        <v>3</v>
      </c>
      <c r="V28">
        <v>34.181100000000001</v>
      </c>
      <c r="Y28">
        <v>3</v>
      </c>
      <c r="AC28">
        <v>3</v>
      </c>
      <c r="AD28">
        <v>66.995400000000004</v>
      </c>
      <c r="AG28">
        <v>3</v>
      </c>
      <c r="AH28">
        <v>14.3384</v>
      </c>
    </row>
    <row r="29" spans="1:35" x14ac:dyDescent="0.25">
      <c r="A29">
        <v>4</v>
      </c>
      <c r="E29">
        <v>4</v>
      </c>
      <c r="I29">
        <v>4</v>
      </c>
      <c r="M29">
        <v>4</v>
      </c>
      <c r="Q29">
        <v>4</v>
      </c>
      <c r="R29">
        <v>16.232299999999999</v>
      </c>
      <c r="U29">
        <v>4</v>
      </c>
      <c r="V29">
        <v>34.000100000000003</v>
      </c>
      <c r="Y29">
        <v>4</v>
      </c>
      <c r="AC29">
        <v>4</v>
      </c>
      <c r="AG29">
        <v>4</v>
      </c>
    </row>
    <row r="30" spans="1:35" x14ac:dyDescent="0.25">
      <c r="A30">
        <v>5</v>
      </c>
      <c r="E30">
        <v>5</v>
      </c>
      <c r="I30">
        <v>5</v>
      </c>
      <c r="M30">
        <v>5</v>
      </c>
      <c r="Q30">
        <v>5</v>
      </c>
      <c r="R30">
        <v>16.236699999999999</v>
      </c>
      <c r="U30">
        <v>5</v>
      </c>
      <c r="V30">
        <v>34.052799999999998</v>
      </c>
      <c r="Y30">
        <v>5</v>
      </c>
      <c r="AC30">
        <v>5</v>
      </c>
      <c r="AG30">
        <v>5</v>
      </c>
    </row>
    <row r="34" spans="17:33" x14ac:dyDescent="0.25">
      <c r="Q34" s="2" t="s">
        <v>15</v>
      </c>
      <c r="U34" s="2" t="s">
        <v>16</v>
      </c>
      <c r="AC34" s="2"/>
      <c r="AG34" s="2"/>
    </row>
    <row r="35" spans="17:33" x14ac:dyDescent="0.25">
      <c r="Q35" t="s">
        <v>1</v>
      </c>
      <c r="R35" t="s">
        <v>2</v>
      </c>
      <c r="S35" t="s">
        <v>3</v>
      </c>
      <c r="U35" t="s">
        <v>1</v>
      </c>
      <c r="V35" t="s">
        <v>2</v>
      </c>
      <c r="W35" t="s">
        <v>3</v>
      </c>
    </row>
    <row r="36" spans="17:33" x14ac:dyDescent="0.25">
      <c r="Q36">
        <v>1</v>
      </c>
      <c r="R36">
        <v>4.5064000000000002</v>
      </c>
      <c r="S36">
        <f>AVERAGE(R36:R40)</f>
        <v>4.5127800000000002</v>
      </c>
      <c r="U36">
        <v>1</v>
      </c>
      <c r="V36">
        <v>9.4207999999999998</v>
      </c>
      <c r="W36">
        <f>AVERAGE(V36:V40)</f>
        <v>9.4739000000000004</v>
      </c>
    </row>
    <row r="37" spans="17:33" x14ac:dyDescent="0.25">
      <c r="Q37">
        <v>2</v>
      </c>
      <c r="R37">
        <v>4.4905999999999997</v>
      </c>
      <c r="S37">
        <f>C26/S36</f>
        <v>3542.8272594719883</v>
      </c>
      <c r="U37">
        <v>2</v>
      </c>
      <c r="V37">
        <v>9.5170999999999992</v>
      </c>
      <c r="W37">
        <f>C26/W36</f>
        <v>1687.5837828138358</v>
      </c>
    </row>
    <row r="38" spans="17:33" x14ac:dyDescent="0.25">
      <c r="Q38">
        <v>3</v>
      </c>
      <c r="R38">
        <v>4.5004999999999997</v>
      </c>
      <c r="U38">
        <v>3</v>
      </c>
      <c r="V38">
        <v>9.5154999999999994</v>
      </c>
    </row>
    <row r="39" spans="17:33" x14ac:dyDescent="0.25">
      <c r="Q39">
        <v>4</v>
      </c>
      <c r="R39">
        <v>4.5361000000000002</v>
      </c>
      <c r="U39">
        <v>4</v>
      </c>
      <c r="V39">
        <v>9.4812999999999992</v>
      </c>
    </row>
    <row r="40" spans="17:33" x14ac:dyDescent="0.25">
      <c r="Q40">
        <v>5</v>
      </c>
      <c r="R40">
        <v>4.5303000000000004</v>
      </c>
      <c r="U40">
        <v>5</v>
      </c>
      <c r="V40">
        <v>9.4347999999999992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时梁</dc:creator>
  <cp:lastModifiedBy>Shi, Liang</cp:lastModifiedBy>
  <dcterms:created xsi:type="dcterms:W3CDTF">2015-06-05T18:17:20Z</dcterms:created>
  <dcterms:modified xsi:type="dcterms:W3CDTF">2026-06-05T17:17:56Z</dcterms:modified>
</cp:coreProperties>
</file>