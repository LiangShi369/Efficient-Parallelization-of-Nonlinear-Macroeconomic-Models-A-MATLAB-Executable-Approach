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aiduSyncdisk\working papers\Parallel computation with Mex\code_gitrepo\"/>
    </mc:Choice>
  </mc:AlternateContent>
  <xr:revisionPtr revIDLastSave="0" documentId="13_ncr:1_{C53D05E3-3F5A-422E-8E61-3CCEE20C8A43}" xr6:coauthVersionLast="47" xr6:coauthVersionMax="47" xr10:uidLastSave="{00000000-0000-0000-0000-000000000000}"/>
  <bookViews>
    <workbookView xWindow="43245" yWindow="0" windowWidth="31020" windowHeight="2098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AA33" i="1"/>
  <c r="W33" i="1"/>
  <c r="AA71" i="1"/>
  <c r="W71" i="1"/>
  <c r="AA52" i="1"/>
  <c r="W52" i="1"/>
  <c r="AA14" i="1"/>
  <c r="G19" i="2"/>
  <c r="C19" i="2"/>
  <c r="G6" i="2"/>
  <c r="C6" i="2"/>
  <c r="AE62" i="1"/>
  <c r="AE43" i="1"/>
  <c r="AE23" i="1"/>
  <c r="AE5" i="1"/>
  <c r="AA62" i="1"/>
  <c r="AA43" i="1"/>
  <c r="AA23" i="1"/>
  <c r="AA5" i="1"/>
  <c r="W62" i="1" l="1"/>
  <c r="W43" i="1"/>
  <c r="W23" i="1"/>
  <c r="W5" i="1"/>
  <c r="AJ5" i="1"/>
  <c r="AE9" i="1" s="1"/>
  <c r="AN5" i="1"/>
  <c r="AR5" i="1"/>
  <c r="AR9" i="1" s="1"/>
  <c r="AV5" i="1"/>
  <c r="AZ5" i="1"/>
  <c r="AJ43" i="1"/>
  <c r="AN43" i="1"/>
  <c r="AR43" i="1"/>
  <c r="AV43" i="1"/>
  <c r="AZ43" i="1"/>
  <c r="C5" i="1"/>
  <c r="W6" i="1" s="1"/>
  <c r="G5" i="1"/>
  <c r="K5" i="1"/>
  <c r="O5" i="1"/>
  <c r="S5" i="1"/>
  <c r="C23" i="1"/>
  <c r="G23" i="1"/>
  <c r="K23" i="1"/>
  <c r="O23" i="1"/>
  <c r="S23" i="1"/>
  <c r="C43" i="1"/>
  <c r="G43" i="1"/>
  <c r="K43" i="1"/>
  <c r="O43" i="1"/>
  <c r="S43" i="1"/>
  <c r="C62" i="1"/>
  <c r="G62" i="1"/>
  <c r="K62" i="1"/>
  <c r="O62" i="1"/>
  <c r="S62" i="1"/>
  <c r="AN9" i="1" l="1"/>
  <c r="AE47" i="1"/>
  <c r="O47" i="1"/>
  <c r="O44" i="1"/>
  <c r="W63" i="1"/>
  <c r="S63" i="1"/>
  <c r="W44" i="1"/>
  <c r="G7" i="2"/>
  <c r="C7" i="2"/>
  <c r="AE24" i="1"/>
  <c r="AE6" i="1"/>
  <c r="O63" i="1"/>
  <c r="C20" i="2"/>
  <c r="G20" i="2"/>
  <c r="AE63" i="1"/>
  <c r="AE44" i="1"/>
  <c r="AV9" i="1"/>
  <c r="O9" i="1"/>
  <c r="AA9" i="1"/>
  <c r="W24" i="1"/>
  <c r="AJ47" i="1"/>
  <c r="AA47" i="1"/>
  <c r="O24" i="1"/>
  <c r="AA6" i="1"/>
  <c r="AA24" i="1"/>
  <c r="AA63" i="1"/>
  <c r="AA44" i="1"/>
  <c r="AJ9" i="1"/>
  <c r="W47" i="1"/>
  <c r="AV44" i="1"/>
  <c r="AJ6" i="1"/>
  <c r="O6" i="1"/>
  <c r="W9" i="1"/>
  <c r="AR6" i="1"/>
  <c r="AZ6" i="1"/>
  <c r="AV6" i="1"/>
  <c r="AZ44" i="1"/>
  <c r="AR44" i="1"/>
  <c r="AN44" i="1"/>
  <c r="AZ9" i="1"/>
  <c r="AJ44" i="1"/>
  <c r="AZ47" i="1"/>
  <c r="AR47" i="1"/>
  <c r="AN6" i="1"/>
  <c r="AV47" i="1"/>
  <c r="AN47" i="1"/>
  <c r="K44" i="1"/>
  <c r="S6" i="1"/>
  <c r="C24" i="1"/>
  <c r="K24" i="1"/>
  <c r="G24" i="1"/>
  <c r="K6" i="1"/>
  <c r="S24" i="1"/>
  <c r="G63" i="1"/>
  <c r="K63" i="1"/>
  <c r="C63" i="1"/>
  <c r="G44" i="1"/>
  <c r="S44" i="1"/>
  <c r="C44" i="1"/>
  <c r="C6" i="1"/>
  <c r="G6" i="1"/>
</calcChain>
</file>

<file path=xl/sharedStrings.xml><?xml version="1.0" encoding="utf-8"?>
<sst xmlns="http://schemas.openxmlformats.org/spreadsheetml/2006/main" count="227" uniqueCount="27">
  <si>
    <t>Brute force</t>
  </si>
  <si>
    <t>experiments</t>
  </si>
  <si>
    <t xml:space="preserve">  seconds</t>
  </si>
  <si>
    <t>mean</t>
  </si>
  <si>
    <t>Monotonicity</t>
  </si>
  <si>
    <t>scripted serial</t>
  </si>
  <si>
    <t>Mex parfor</t>
  </si>
  <si>
    <t>mex parfor</t>
  </si>
  <si>
    <t>mex cuda</t>
  </si>
  <si>
    <t>mex</t>
  </si>
  <si>
    <t>scripted parfor</t>
  </si>
  <si>
    <t>too much stack memory with cuda</t>
  </si>
  <si>
    <t xml:space="preserve"> </t>
  </si>
  <si>
    <t>matlab vectorized</t>
  </si>
  <si>
    <t>matlab vectorized gpuArray</t>
  </si>
  <si>
    <t>nz 25 nm 25, nb 200</t>
  </si>
  <si>
    <t>nz 25 nm 25, nb 400</t>
  </si>
  <si>
    <t>mex vectorized cuda</t>
  </si>
  <si>
    <t>matlab vectorized gpuArray A10G</t>
  </si>
  <si>
    <t>mex vectorized cuda A10G</t>
  </si>
  <si>
    <t>mex cuda A10G</t>
  </si>
  <si>
    <t>mex parfor EPYC 7R13 aws c6a.8xlarge</t>
  </si>
  <si>
    <t>scripted parfor EPYC 7R13 aws c6a.8xlarge</t>
  </si>
  <si>
    <t>Fortran OpenMP</t>
  </si>
  <si>
    <t>Fortran OpenACC</t>
  </si>
  <si>
    <t>mex cuda rtx5070</t>
  </si>
  <si>
    <t>mex parfor 265k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</si>
</sst>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5"/>
  <sheetViews>
    <sheetView tabSelected="1" topLeftCell="A7" zoomScale="80" zoomScaleNormal="80" workbookViewId="0">
      <selection activeCell="V17" sqref="V17"/>
    </sheetView>
  </sheetViews>
  <sheetFormatPr defaultRowHeight="15" x14ac:dyDescent="0.25"/>
  <cols>
    <col min="1" max="1" width="10.85546875" customWidth="1"/>
    <col min="2" max="2" width="13.28515625" customWidth="1"/>
    <col min="12" max="12" width="6.5703125" customWidth="1"/>
    <col min="16" max="16" width="7" customWidth="1"/>
    <col min="17" max="19" width="9.140625" style="5"/>
    <col min="20" max="20" width="6.140625" customWidth="1"/>
    <col min="21" max="22" width="13.42578125" customWidth="1"/>
    <col min="23" max="23" width="12.28515625" customWidth="1"/>
    <col min="24" max="24" width="6.140625" customWidth="1"/>
    <col min="25" max="25" width="12.42578125" customWidth="1"/>
    <col min="26" max="26" width="14.85546875" customWidth="1"/>
    <col min="27" max="27" width="13.7109375" customWidth="1"/>
    <col min="28" max="28" width="6.140625" customWidth="1"/>
    <col min="29" max="29" width="13.7109375" customWidth="1"/>
    <col min="30" max="30" width="15.140625" customWidth="1"/>
    <col min="31" max="31" width="14.5703125" customWidth="1"/>
    <col min="32" max="33" width="6.140625" customWidth="1"/>
  </cols>
  <sheetData>
    <row r="1" spans="1:52" x14ac:dyDescent="0.25">
      <c r="A1" s="4" t="s">
        <v>15</v>
      </c>
    </row>
    <row r="2" spans="1:52" x14ac:dyDescent="0.25">
      <c r="A2" s="1" t="s">
        <v>0</v>
      </c>
    </row>
    <row r="3" spans="1:52" x14ac:dyDescent="0.25">
      <c r="A3" s="2" t="s">
        <v>10</v>
      </c>
      <c r="E3" s="2" t="s">
        <v>5</v>
      </c>
      <c r="I3" s="2" t="s">
        <v>7</v>
      </c>
      <c r="M3" s="2" t="s">
        <v>8</v>
      </c>
      <c r="Q3" s="2" t="s">
        <v>9</v>
      </c>
      <c r="U3" s="2" t="s">
        <v>20</v>
      </c>
      <c r="Y3" s="2" t="s">
        <v>21</v>
      </c>
      <c r="AC3" s="2" t="s">
        <v>22</v>
      </c>
      <c r="AH3" s="2" t="s">
        <v>13</v>
      </c>
      <c r="AL3" s="2" t="s">
        <v>14</v>
      </c>
      <c r="AP3" s="2" t="s">
        <v>17</v>
      </c>
      <c r="AT3" s="2" t="s">
        <v>18</v>
      </c>
      <c r="AX3" s="2" t="s">
        <v>19</v>
      </c>
    </row>
    <row r="4" spans="1:52" x14ac:dyDescent="0.25">
      <c r="A4" t="s">
        <v>1</v>
      </c>
      <c r="B4" t="s">
        <v>2</v>
      </c>
      <c r="C4" t="s">
        <v>3</v>
      </c>
      <c r="E4" t="s">
        <v>1</v>
      </c>
      <c r="F4" t="s">
        <v>2</v>
      </c>
      <c r="G4" t="s">
        <v>3</v>
      </c>
      <c r="I4" t="s">
        <v>1</v>
      </c>
      <c r="J4" t="s">
        <v>2</v>
      </c>
      <c r="K4" t="s">
        <v>3</v>
      </c>
      <c r="M4" t="s">
        <v>1</v>
      </c>
      <c r="N4" t="s">
        <v>2</v>
      </c>
      <c r="O4" t="s">
        <v>3</v>
      </c>
      <c r="Q4" s="5" t="s">
        <v>1</v>
      </c>
      <c r="R4" s="5" t="s">
        <v>2</v>
      </c>
      <c r="S4" s="5" t="s">
        <v>3</v>
      </c>
      <c r="U4" t="s">
        <v>1</v>
      </c>
      <c r="V4" t="s">
        <v>2</v>
      </c>
      <c r="W4" t="s">
        <v>3</v>
      </c>
      <c r="Y4" t="s">
        <v>1</v>
      </c>
      <c r="Z4" t="s">
        <v>2</v>
      </c>
      <c r="AA4" t="s">
        <v>3</v>
      </c>
      <c r="AC4" t="s">
        <v>1</v>
      </c>
      <c r="AD4" t="s">
        <v>2</v>
      </c>
      <c r="AE4" t="s">
        <v>3</v>
      </c>
      <c r="AH4" t="s">
        <v>1</v>
      </c>
      <c r="AI4" t="s">
        <v>2</v>
      </c>
      <c r="AJ4" t="s">
        <v>3</v>
      </c>
      <c r="AL4" t="s">
        <v>1</v>
      </c>
      <c r="AM4" t="s">
        <v>2</v>
      </c>
      <c r="AN4" t="s">
        <v>3</v>
      </c>
      <c r="AP4" t="s">
        <v>1</v>
      </c>
      <c r="AQ4" t="s">
        <v>2</v>
      </c>
      <c r="AR4" t="s">
        <v>3</v>
      </c>
      <c r="AT4" t="s">
        <v>1</v>
      </c>
      <c r="AU4" t="s">
        <v>2</v>
      </c>
      <c r="AV4" t="s">
        <v>3</v>
      </c>
      <c r="AX4" t="s">
        <v>1</v>
      </c>
      <c r="AY4" t="s">
        <v>2</v>
      </c>
      <c r="AZ4" t="s">
        <v>3</v>
      </c>
    </row>
    <row r="5" spans="1:52" x14ac:dyDescent="0.25">
      <c r="A5">
        <v>1</v>
      </c>
      <c r="B5">
        <v>34.768241799999998</v>
      </c>
      <c r="C5">
        <f>AVERAGE(B5:B9)</f>
        <v>34.881613999999999</v>
      </c>
      <c r="E5">
        <v>1</v>
      </c>
      <c r="F5">
        <v>104.3481761</v>
      </c>
      <c r="G5">
        <f>AVERAGE(F5:F9)</f>
        <v>103.77798394999999</v>
      </c>
      <c r="I5">
        <v>1</v>
      </c>
      <c r="J5">
        <v>21.149799999999999</v>
      </c>
      <c r="K5">
        <f>AVERAGE(J5:J9)</f>
        <v>21.194466666666667</v>
      </c>
      <c r="M5">
        <v>1</v>
      </c>
      <c r="N5" s="3">
        <v>2.0135999999999998</v>
      </c>
      <c r="O5">
        <f>AVERAGE(N5:N9)</f>
        <v>2.0048750000000002</v>
      </c>
      <c r="Q5" s="5">
        <v>1</v>
      </c>
      <c r="R5" s="5">
        <v>55.423997800000002</v>
      </c>
      <c r="S5" s="5">
        <f>AVERAGE(R5:R9)</f>
        <v>54.977549666666668</v>
      </c>
      <c r="U5">
        <v>1</v>
      </c>
      <c r="V5" s="3">
        <v>5.4675000000000002</v>
      </c>
      <c r="W5">
        <f>AVERAGE(V5:V9)</f>
        <v>5.45852</v>
      </c>
      <c r="Y5">
        <v>1</v>
      </c>
      <c r="Z5" s="3">
        <v>25.0199</v>
      </c>
      <c r="AA5">
        <f>AVERAGE(Z5:Z9)</f>
        <v>25.110166666666668</v>
      </c>
      <c r="AC5">
        <v>1</v>
      </c>
      <c r="AD5" s="3">
        <v>23.383600000000001</v>
      </c>
      <c r="AE5">
        <f>AVERAGE(AD5:AD9)</f>
        <v>22.815899999999999</v>
      </c>
      <c r="AH5">
        <v>1</v>
      </c>
      <c r="AI5" s="3">
        <v>72.602639999999994</v>
      </c>
      <c r="AJ5">
        <f>AVERAGE(AI5:AI9)</f>
        <v>74.034463333333335</v>
      </c>
      <c r="AL5">
        <v>1</v>
      </c>
      <c r="AM5" s="3">
        <v>12.034840000000001</v>
      </c>
      <c r="AN5">
        <f>AVERAGE(AM5:AM9)</f>
        <v>12.33174</v>
      </c>
      <c r="AP5">
        <v>1</v>
      </c>
      <c r="AQ5" s="3">
        <v>9.9878499999999999</v>
      </c>
      <c r="AR5">
        <f>AVERAGE(AQ5:AQ9)</f>
        <v>9.6793680000000002</v>
      </c>
      <c r="AT5">
        <v>1</v>
      </c>
      <c r="AU5">
        <v>13.142939999999999</v>
      </c>
      <c r="AV5">
        <f>AVERAGE(AU5:AU9)</f>
        <v>13.097515999999999</v>
      </c>
      <c r="AX5">
        <v>1</v>
      </c>
      <c r="AY5" s="3">
        <v>5.3017300000000001</v>
      </c>
      <c r="AZ5">
        <f>AVERAGE(AY5:AY9)</f>
        <v>5.3072100000000004</v>
      </c>
    </row>
    <row r="6" spans="1:52" x14ac:dyDescent="0.25">
      <c r="A6">
        <v>2</v>
      </c>
      <c r="B6">
        <v>34.9949862</v>
      </c>
      <c r="C6">
        <f>C5/C5</f>
        <v>1</v>
      </c>
      <c r="E6">
        <v>2</v>
      </c>
      <c r="F6">
        <v>103.2077918</v>
      </c>
      <c r="G6">
        <f>C5/G5</f>
        <v>0.33611766843346935</v>
      </c>
      <c r="I6">
        <v>2</v>
      </c>
      <c r="J6">
        <v>20.991099999999999</v>
      </c>
      <c r="K6">
        <f>C5/K5</f>
        <v>1.6457887121481392</v>
      </c>
      <c r="M6">
        <v>2</v>
      </c>
      <c r="N6" s="3">
        <v>2.0024999999999999</v>
      </c>
      <c r="O6">
        <f>$C$5/O5</f>
        <v>17.398398403890514</v>
      </c>
      <c r="Q6" s="5">
        <v>2</v>
      </c>
      <c r="R6" s="5">
        <v>54.888409000000003</v>
      </c>
      <c r="S6" s="5">
        <f>C5/S5</f>
        <v>0.63447014665968282</v>
      </c>
      <c r="U6">
        <v>2</v>
      </c>
      <c r="V6" s="3">
        <v>5.4450000000000003</v>
      </c>
      <c r="W6">
        <f>$C5/W5</f>
        <v>6.3903061635754748</v>
      </c>
      <c r="Y6">
        <v>2</v>
      </c>
      <c r="Z6" s="3">
        <v>25.146799999999999</v>
      </c>
      <c r="AA6">
        <f>$C5/AA5</f>
        <v>1.389143069540226</v>
      </c>
      <c r="AC6">
        <v>2</v>
      </c>
      <c r="AD6" s="3">
        <v>22.516500000000001</v>
      </c>
      <c r="AE6">
        <f>$C5/AE5</f>
        <v>1.5288291936763398</v>
      </c>
      <c r="AH6">
        <v>2</v>
      </c>
      <c r="AI6" s="3">
        <v>72.791480000000007</v>
      </c>
      <c r="AJ6">
        <f>C5/AJ5</f>
        <v>0.47115373610461325</v>
      </c>
      <c r="AL6">
        <v>2</v>
      </c>
      <c r="AM6" s="3">
        <v>12.673019999999999</v>
      </c>
      <c r="AN6">
        <f>C5/AN5</f>
        <v>2.8286043980816982</v>
      </c>
      <c r="AP6">
        <v>2</v>
      </c>
      <c r="AQ6" s="3">
        <v>9.5820100000000004</v>
      </c>
      <c r="AR6">
        <f>C5/AR5</f>
        <v>3.6037078040632404</v>
      </c>
      <c r="AT6">
        <v>2</v>
      </c>
      <c r="AU6" s="3">
        <v>13.114800000000001</v>
      </c>
      <c r="AV6">
        <f>C5/AV5</f>
        <v>2.6632236219448027</v>
      </c>
      <c r="AX6">
        <v>2</v>
      </c>
      <c r="AY6" s="3">
        <v>5.30966</v>
      </c>
      <c r="AZ6">
        <f>C5/AZ5</f>
        <v>6.572495529666246</v>
      </c>
    </row>
    <row r="7" spans="1:52" x14ac:dyDescent="0.25">
      <c r="A7">
        <v>3</v>
      </c>
      <c r="E7">
        <v>3</v>
      </c>
      <c r="I7">
        <v>3</v>
      </c>
      <c r="J7">
        <v>21.442499999999999</v>
      </c>
      <c r="M7">
        <v>3</v>
      </c>
      <c r="N7" s="3">
        <v>2.0156000000000001</v>
      </c>
      <c r="Q7" s="5">
        <v>3</v>
      </c>
      <c r="R7" s="5">
        <v>54.6202422</v>
      </c>
      <c r="U7">
        <v>3</v>
      </c>
      <c r="V7" s="3">
        <v>5.4539</v>
      </c>
      <c r="Y7">
        <v>3</v>
      </c>
      <c r="Z7" s="3">
        <v>25.163799999999998</v>
      </c>
      <c r="AC7">
        <v>3</v>
      </c>
      <c r="AD7" s="3">
        <v>22.547599999999999</v>
      </c>
      <c r="AH7">
        <v>3</v>
      </c>
      <c r="AI7" s="3">
        <v>76.709270000000004</v>
      </c>
      <c r="AL7">
        <v>3</v>
      </c>
      <c r="AM7" s="3">
        <v>12.20984</v>
      </c>
      <c r="AP7">
        <v>3</v>
      </c>
      <c r="AQ7" s="3">
        <v>9.5948200000000003</v>
      </c>
      <c r="AT7">
        <v>3</v>
      </c>
      <c r="AU7" s="3">
        <v>13.06344</v>
      </c>
      <c r="AX7">
        <v>3</v>
      </c>
      <c r="AY7" s="3">
        <v>5.3032700000000004</v>
      </c>
    </row>
    <row r="8" spans="1:52" x14ac:dyDescent="0.25">
      <c r="A8">
        <v>4</v>
      </c>
      <c r="E8">
        <v>4</v>
      </c>
      <c r="I8">
        <v>4</v>
      </c>
      <c r="M8">
        <v>4</v>
      </c>
      <c r="N8" s="3">
        <v>1.9878</v>
      </c>
      <c r="Q8" s="5">
        <v>4</v>
      </c>
      <c r="U8">
        <v>4</v>
      </c>
      <c r="V8" s="3">
        <v>5.4775999999999998</v>
      </c>
      <c r="Y8">
        <v>4</v>
      </c>
      <c r="Z8" s="3"/>
      <c r="AC8">
        <v>4</v>
      </c>
      <c r="AD8" s="3"/>
      <c r="AH8">
        <v>4</v>
      </c>
      <c r="AI8" s="3"/>
      <c r="AL8">
        <v>4</v>
      </c>
      <c r="AM8" s="3">
        <v>12.14485</v>
      </c>
      <c r="AP8">
        <v>4</v>
      </c>
      <c r="AQ8" s="3">
        <v>9.5771999999999995</v>
      </c>
      <c r="AT8">
        <v>4</v>
      </c>
      <c r="AU8" s="3">
        <v>13.02876</v>
      </c>
      <c r="AX8">
        <v>4</v>
      </c>
      <c r="AY8" s="3">
        <v>5.3118100000000004</v>
      </c>
    </row>
    <row r="9" spans="1:52" x14ac:dyDescent="0.25">
      <c r="A9">
        <v>5</v>
      </c>
      <c r="E9">
        <v>5</v>
      </c>
      <c r="I9">
        <v>5</v>
      </c>
      <c r="M9">
        <v>5</v>
      </c>
      <c r="N9" s="3"/>
      <c r="O9">
        <f>$AJ$5/O5</f>
        <v>36.927221564104158</v>
      </c>
      <c r="Q9" s="5">
        <v>5</v>
      </c>
      <c r="U9">
        <v>5</v>
      </c>
      <c r="V9" s="3">
        <v>5.4485999999999999</v>
      </c>
      <c r="W9">
        <f>$AJ$5/W5</f>
        <v>13.56310196414657</v>
      </c>
      <c r="Y9">
        <v>5</v>
      </c>
      <c r="Z9" s="3"/>
      <c r="AA9">
        <f>$AJ$5/AA5</f>
        <v>2.9483859791186835</v>
      </c>
      <c r="AC9">
        <v>5</v>
      </c>
      <c r="AD9" s="3"/>
      <c r="AE9">
        <f>$AJ$5/AE5</f>
        <v>3.2448627200037401</v>
      </c>
      <c r="AH9">
        <v>5</v>
      </c>
      <c r="AI9" s="3"/>
      <c r="AJ9">
        <f>AJ5/AJ5</f>
        <v>1</v>
      </c>
      <c r="AL9">
        <v>5</v>
      </c>
      <c r="AM9" s="3">
        <v>12.59615</v>
      </c>
      <c r="AN9">
        <f>AJ5/AN5</f>
        <v>6.0035699206546145</v>
      </c>
      <c r="AP9">
        <v>5</v>
      </c>
      <c r="AQ9" s="3">
        <v>9.6549600000000009</v>
      </c>
      <c r="AR9">
        <f>AJ5/AR5</f>
        <v>7.6486877380148508</v>
      </c>
      <c r="AT9">
        <v>5</v>
      </c>
      <c r="AU9" s="3">
        <v>13.137639999999999</v>
      </c>
      <c r="AV9">
        <f>AJ5/AV5</f>
        <v>5.6525575791114395</v>
      </c>
      <c r="AX9">
        <v>5</v>
      </c>
      <c r="AY9" s="3">
        <v>5.3095800000000004</v>
      </c>
      <c r="AZ9">
        <f>AJ5/AZ5</f>
        <v>13.949789688618564</v>
      </c>
    </row>
    <row r="10" spans="1:52" x14ac:dyDescent="0.25">
      <c r="N10" s="3"/>
      <c r="V10" s="3"/>
      <c r="Z10" s="3"/>
      <c r="AD10" s="3"/>
      <c r="AI10" s="3"/>
      <c r="AM10" s="3"/>
      <c r="AQ10" s="3"/>
      <c r="AU10" s="3"/>
      <c r="AY10" s="3"/>
    </row>
    <row r="11" spans="1:52" x14ac:dyDescent="0.25">
      <c r="N11" s="3"/>
      <c r="V11" s="3"/>
      <c r="Z11" s="3"/>
      <c r="AD11" s="3"/>
      <c r="AI11" s="3"/>
      <c r="AM11" s="3"/>
      <c r="AQ11" s="3"/>
      <c r="AU11" s="3"/>
      <c r="AY11" s="3"/>
    </row>
    <row r="12" spans="1:52" x14ac:dyDescent="0.25">
      <c r="N12" s="3"/>
      <c r="U12" s="2" t="s">
        <v>25</v>
      </c>
      <c r="Y12" s="2" t="s">
        <v>26</v>
      </c>
      <c r="AD12" s="3"/>
      <c r="AI12" s="3"/>
      <c r="AM12" s="3"/>
      <c r="AQ12" s="3"/>
      <c r="AU12" s="3"/>
      <c r="AY12" s="3"/>
    </row>
    <row r="13" spans="1:52" x14ac:dyDescent="0.25">
      <c r="N13" s="3"/>
      <c r="U13" t="s">
        <v>1</v>
      </c>
      <c r="V13" t="s">
        <v>2</v>
      </c>
      <c r="W13" t="s">
        <v>3</v>
      </c>
      <c r="Y13" t="s">
        <v>1</v>
      </c>
      <c r="Z13" t="s">
        <v>2</v>
      </c>
      <c r="AA13" t="s">
        <v>3</v>
      </c>
      <c r="AD13" s="3"/>
      <c r="AI13" s="3"/>
      <c r="AM13" s="3"/>
      <c r="AQ13" s="3"/>
      <c r="AU13" s="3"/>
      <c r="AY13" s="3"/>
    </row>
    <row r="14" spans="1:52" x14ac:dyDescent="0.25">
      <c r="N14" s="3"/>
      <c r="U14">
        <v>1</v>
      </c>
      <c r="V14" s="3">
        <v>1.1284383</v>
      </c>
      <c r="W14">
        <f>AVERAGE(V14:V18)</f>
        <v>1.1364408500000001</v>
      </c>
      <c r="Y14">
        <v>1</v>
      </c>
      <c r="Z14" s="3">
        <v>4.9065854</v>
      </c>
      <c r="AA14">
        <f>AVERAGE(Z14:Z18)</f>
        <v>4.8356084250000002</v>
      </c>
      <c r="AD14" s="3"/>
      <c r="AI14" s="3"/>
      <c r="AM14" s="3"/>
      <c r="AQ14" s="3"/>
      <c r="AU14" s="3"/>
      <c r="AY14" s="3"/>
    </row>
    <row r="15" spans="1:52" x14ac:dyDescent="0.25">
      <c r="N15" s="3"/>
      <c r="U15">
        <v>2</v>
      </c>
      <c r="V15" s="3">
        <v>1.1312408</v>
      </c>
      <c r="Y15">
        <v>2</v>
      </c>
      <c r="Z15" s="3">
        <v>4.7704553000000001</v>
      </c>
      <c r="AD15" s="3"/>
      <c r="AI15" s="3"/>
      <c r="AM15" s="3"/>
      <c r="AQ15" s="3"/>
      <c r="AU15" s="3"/>
      <c r="AY15" s="3"/>
    </row>
    <row r="16" spans="1:52" x14ac:dyDescent="0.25">
      <c r="N16" s="3"/>
      <c r="U16">
        <v>3</v>
      </c>
      <c r="V16" s="3">
        <v>1.1322639999999999</v>
      </c>
      <c r="Y16">
        <v>3</v>
      </c>
      <c r="Z16" s="3">
        <v>4.7739839000000002</v>
      </c>
      <c r="AD16" s="3"/>
      <c r="AI16" s="3"/>
      <c r="AM16" s="3"/>
      <c r="AQ16" s="3"/>
      <c r="AU16" s="3"/>
      <c r="AY16" s="3"/>
    </row>
    <row r="17" spans="1:51" x14ac:dyDescent="0.25">
      <c r="N17" s="3"/>
      <c r="U17">
        <v>4</v>
      </c>
      <c r="V17" s="3">
        <v>1.1538203</v>
      </c>
      <c r="Y17">
        <v>4</v>
      </c>
      <c r="Z17" s="3">
        <v>4.8914090999999997</v>
      </c>
      <c r="AD17" s="3"/>
      <c r="AI17" s="3"/>
      <c r="AM17" s="3"/>
      <c r="AQ17" s="3"/>
      <c r="AU17" s="3"/>
      <c r="AY17" s="3"/>
    </row>
    <row r="18" spans="1:51" x14ac:dyDescent="0.25">
      <c r="U18">
        <v>5</v>
      </c>
      <c r="V18" s="3"/>
      <c r="Y18">
        <v>5</v>
      </c>
      <c r="Z18" s="3"/>
    </row>
    <row r="20" spans="1:51" x14ac:dyDescent="0.25">
      <c r="A20" s="1" t="s">
        <v>4</v>
      </c>
    </row>
    <row r="21" spans="1:51" x14ac:dyDescent="0.25">
      <c r="A21" s="2" t="s">
        <v>10</v>
      </c>
      <c r="E21" t="s">
        <v>5</v>
      </c>
      <c r="I21" s="2" t="s">
        <v>6</v>
      </c>
      <c r="M21" s="2" t="s">
        <v>8</v>
      </c>
      <c r="Q21" s="2" t="s">
        <v>9</v>
      </c>
      <c r="U21" s="2" t="s">
        <v>20</v>
      </c>
      <c r="Y21" s="2" t="s">
        <v>21</v>
      </c>
      <c r="AC21" s="2" t="s">
        <v>22</v>
      </c>
    </row>
    <row r="22" spans="1:51" x14ac:dyDescent="0.25">
      <c r="A22" t="s">
        <v>1</v>
      </c>
      <c r="B22" t="s">
        <v>2</v>
      </c>
      <c r="C22" t="s">
        <v>3</v>
      </c>
      <c r="E22" t="s">
        <v>1</v>
      </c>
      <c r="F22" t="s">
        <v>2</v>
      </c>
      <c r="G22" t="s">
        <v>3</v>
      </c>
      <c r="I22" t="s">
        <v>1</v>
      </c>
      <c r="J22" t="s">
        <v>2</v>
      </c>
      <c r="K22" t="s">
        <v>3</v>
      </c>
      <c r="M22" t="s">
        <v>1</v>
      </c>
      <c r="N22" t="s">
        <v>2</v>
      </c>
      <c r="O22" t="s">
        <v>3</v>
      </c>
      <c r="Q22" s="5" t="s">
        <v>1</v>
      </c>
      <c r="R22" s="5" t="s">
        <v>2</v>
      </c>
      <c r="S22" s="5" t="s">
        <v>3</v>
      </c>
      <c r="U22" t="s">
        <v>1</v>
      </c>
      <c r="V22" t="s">
        <v>2</v>
      </c>
      <c r="W22" t="s">
        <v>3</v>
      </c>
      <c r="Y22" t="s">
        <v>1</v>
      </c>
      <c r="Z22" t="s">
        <v>2</v>
      </c>
      <c r="AA22" t="s">
        <v>3</v>
      </c>
      <c r="AC22" t="s">
        <v>1</v>
      </c>
      <c r="AD22" t="s">
        <v>2</v>
      </c>
      <c r="AE22" t="s">
        <v>3</v>
      </c>
    </row>
    <row r="23" spans="1:51" x14ac:dyDescent="0.25">
      <c r="A23">
        <v>1</v>
      </c>
      <c r="B23">
        <v>11.6071685</v>
      </c>
      <c r="C23">
        <f>AVERAGE(B23:B27)</f>
        <v>11.613006320000002</v>
      </c>
      <c r="E23">
        <v>1</v>
      </c>
      <c r="F23">
        <v>5.5951613</v>
      </c>
      <c r="G23">
        <f>AVERAGE(F23:F27)</f>
        <v>5.6096890800000008</v>
      </c>
      <c r="I23">
        <v>1</v>
      </c>
      <c r="J23">
        <v>23.1198123</v>
      </c>
      <c r="K23">
        <f>AVERAGE(J23:J27)</f>
        <v>23.112221466666668</v>
      </c>
      <c r="M23">
        <v>1</v>
      </c>
      <c r="N23">
        <v>2.7976496000000002</v>
      </c>
      <c r="O23">
        <f>AVERAGE(N23:N27)</f>
        <v>2.8102873000000002</v>
      </c>
      <c r="Q23" s="5">
        <v>1</v>
      </c>
      <c r="R23" s="5">
        <v>24.241702</v>
      </c>
      <c r="S23" s="5">
        <f>AVERAGE(R23:R27)</f>
        <v>24.284797766666667</v>
      </c>
      <c r="U23">
        <v>1</v>
      </c>
      <c r="V23">
        <v>2.875</v>
      </c>
      <c r="W23">
        <f>AVERAGE(V23:V27)</f>
        <v>2.8715999999999999</v>
      </c>
      <c r="Y23">
        <v>1</v>
      </c>
      <c r="Z23">
        <v>22.916699999999999</v>
      </c>
      <c r="AA23">
        <f>AVERAGE(Z23:Z27)</f>
        <v>23.009766666666668</v>
      </c>
      <c r="AC23">
        <v>1</v>
      </c>
      <c r="AD23">
        <v>14.453799999999999</v>
      </c>
      <c r="AE23">
        <f>AVERAGE(AD23:AD27)</f>
        <v>15.617266666666666</v>
      </c>
    </row>
    <row r="24" spans="1:51" x14ac:dyDescent="0.25">
      <c r="A24">
        <v>2</v>
      </c>
      <c r="B24">
        <v>11.5623196</v>
      </c>
      <c r="C24">
        <f>C5/C23</f>
        <v>3.0036678736604694</v>
      </c>
      <c r="E24">
        <v>2</v>
      </c>
      <c r="F24">
        <v>5.5231918000000002</v>
      </c>
      <c r="G24">
        <f>C5/G23</f>
        <v>6.2181011286992742</v>
      </c>
      <c r="I24">
        <v>2</v>
      </c>
      <c r="J24">
        <v>23.097807400000001</v>
      </c>
      <c r="K24">
        <f>C5/K23</f>
        <v>1.5092280960662998</v>
      </c>
      <c r="M24">
        <v>2</v>
      </c>
      <c r="N24">
        <v>2.8200395</v>
      </c>
      <c r="O24">
        <f>$C$5/O23</f>
        <v>12.41211672557464</v>
      </c>
      <c r="Q24" s="5">
        <v>2</v>
      </c>
      <c r="R24" s="5">
        <v>24.330302</v>
      </c>
      <c r="S24" s="5">
        <f>C5/S23</f>
        <v>1.4363559596068998</v>
      </c>
      <c r="U24">
        <v>2</v>
      </c>
      <c r="V24">
        <v>2.8517999999999999</v>
      </c>
      <c r="W24">
        <f>$C$5/W23</f>
        <v>12.147100571110183</v>
      </c>
      <c r="Y24">
        <v>2</v>
      </c>
      <c r="Z24">
        <v>23.040500000000002</v>
      </c>
      <c r="AA24">
        <f>$C$5/AA23</f>
        <v>1.51594818432173</v>
      </c>
      <c r="AC24">
        <v>2</v>
      </c>
      <c r="AD24">
        <v>16.1936</v>
      </c>
      <c r="AE24">
        <f>$C$5/AE23</f>
        <v>2.2335287438262776</v>
      </c>
    </row>
    <row r="25" spans="1:51" x14ac:dyDescent="0.25">
      <c r="A25">
        <v>3</v>
      </c>
      <c r="B25">
        <v>12.018824</v>
      </c>
      <c r="E25">
        <v>3</v>
      </c>
      <c r="F25">
        <v>5.4805957000000003</v>
      </c>
      <c r="I25">
        <v>3</v>
      </c>
      <c r="J25">
        <v>23.1190447</v>
      </c>
      <c r="M25">
        <v>3</v>
      </c>
      <c r="N25">
        <v>2.8131727999999998</v>
      </c>
      <c r="Q25" s="5">
        <v>3</v>
      </c>
      <c r="R25" s="5">
        <v>24.282389299999998</v>
      </c>
      <c r="U25">
        <v>3</v>
      </c>
      <c r="V25">
        <v>2.8948</v>
      </c>
      <c r="Y25">
        <v>3</v>
      </c>
      <c r="Z25">
        <v>23.072099999999999</v>
      </c>
      <c r="AC25">
        <v>3</v>
      </c>
      <c r="AD25">
        <v>16.2044</v>
      </c>
    </row>
    <row r="26" spans="1:51" x14ac:dyDescent="0.25">
      <c r="A26">
        <v>4</v>
      </c>
      <c r="B26">
        <v>11.339454</v>
      </c>
      <c r="E26">
        <v>4</v>
      </c>
      <c r="F26">
        <v>5.690169</v>
      </c>
      <c r="I26">
        <v>4</v>
      </c>
      <c r="M26">
        <v>4</v>
      </c>
      <c r="Q26" s="5">
        <v>4</v>
      </c>
      <c r="U26">
        <v>4</v>
      </c>
      <c r="V26">
        <v>2.8752</v>
      </c>
      <c r="Y26">
        <v>4</v>
      </c>
      <c r="AC26">
        <v>4</v>
      </c>
    </row>
    <row r="27" spans="1:51" x14ac:dyDescent="0.25">
      <c r="A27">
        <v>5</v>
      </c>
      <c r="B27">
        <v>11.5372655</v>
      </c>
      <c r="E27">
        <v>5</v>
      </c>
      <c r="F27">
        <v>5.7593275999999998</v>
      </c>
      <c r="I27">
        <v>5</v>
      </c>
      <c r="M27">
        <v>5</v>
      </c>
      <c r="Q27" s="5">
        <v>5</v>
      </c>
      <c r="U27">
        <v>5</v>
      </c>
      <c r="V27">
        <v>2.8612000000000002</v>
      </c>
      <c r="Y27">
        <v>5</v>
      </c>
      <c r="AC27">
        <v>5</v>
      </c>
    </row>
    <row r="31" spans="1:51" x14ac:dyDescent="0.25">
      <c r="U31" s="2" t="s">
        <v>25</v>
      </c>
      <c r="Y31" s="2" t="s">
        <v>21</v>
      </c>
    </row>
    <row r="32" spans="1:51" x14ac:dyDescent="0.25">
      <c r="U32" t="s">
        <v>1</v>
      </c>
      <c r="V32" t="s">
        <v>2</v>
      </c>
      <c r="W32" t="s">
        <v>3</v>
      </c>
      <c r="Y32" t="s">
        <v>1</v>
      </c>
      <c r="Z32" t="s">
        <v>2</v>
      </c>
      <c r="AA32" t="s">
        <v>3</v>
      </c>
    </row>
    <row r="33" spans="1:52" x14ac:dyDescent="0.25">
      <c r="U33">
        <v>1</v>
      </c>
      <c r="V33">
        <v>1.2155303</v>
      </c>
      <c r="W33">
        <f>AVERAGE(V33:V37)</f>
        <v>1.2081272000000001</v>
      </c>
      <c r="Y33">
        <v>1</v>
      </c>
      <c r="Z33">
        <v>4.9299271999999998</v>
      </c>
      <c r="AA33">
        <f>AVERAGE(Z33:Z37)</f>
        <v>4.9593170000000004</v>
      </c>
    </row>
    <row r="34" spans="1:52" x14ac:dyDescent="0.25">
      <c r="U34">
        <v>2</v>
      </c>
      <c r="V34">
        <v>1.1983471999999999</v>
      </c>
      <c r="Y34">
        <v>2</v>
      </c>
      <c r="Z34">
        <v>4.9818205000000004</v>
      </c>
    </row>
    <row r="35" spans="1:52" x14ac:dyDescent="0.25">
      <c r="U35">
        <v>3</v>
      </c>
      <c r="V35">
        <v>1.207346</v>
      </c>
      <c r="Y35">
        <v>3</v>
      </c>
      <c r="Z35">
        <v>5.0481850000000001</v>
      </c>
    </row>
    <row r="36" spans="1:52" x14ac:dyDescent="0.25">
      <c r="U36">
        <v>4</v>
      </c>
      <c r="V36">
        <v>1.2112852999999999</v>
      </c>
      <c r="Y36">
        <v>4</v>
      </c>
      <c r="Z36">
        <v>4.8773353000000004</v>
      </c>
    </row>
    <row r="37" spans="1:52" x14ac:dyDescent="0.25">
      <c r="U37">
        <v>5</v>
      </c>
      <c r="Y37">
        <v>5</v>
      </c>
    </row>
    <row r="39" spans="1:52" x14ac:dyDescent="0.25">
      <c r="A39" s="4" t="s">
        <v>16</v>
      </c>
    </row>
    <row r="40" spans="1:52" x14ac:dyDescent="0.25">
      <c r="A40" s="1" t="s">
        <v>0</v>
      </c>
    </row>
    <row r="41" spans="1:52" x14ac:dyDescent="0.25">
      <c r="A41" s="2" t="s">
        <v>10</v>
      </c>
      <c r="E41" s="2" t="s">
        <v>5</v>
      </c>
      <c r="I41" s="2" t="s">
        <v>7</v>
      </c>
      <c r="M41" s="2" t="s">
        <v>8</v>
      </c>
      <c r="Q41" s="2" t="s">
        <v>9</v>
      </c>
      <c r="U41" s="2" t="s">
        <v>20</v>
      </c>
      <c r="Y41" s="2" t="s">
        <v>21</v>
      </c>
      <c r="AC41" s="2" t="s">
        <v>22</v>
      </c>
      <c r="AH41" s="2" t="s">
        <v>13</v>
      </c>
      <c r="AL41" s="2" t="s">
        <v>14</v>
      </c>
      <c r="AP41" s="2" t="s">
        <v>17</v>
      </c>
      <c r="AT41" s="2" t="s">
        <v>18</v>
      </c>
      <c r="AX41" s="2" t="s">
        <v>19</v>
      </c>
    </row>
    <row r="42" spans="1:52" x14ac:dyDescent="0.25">
      <c r="A42" t="s">
        <v>1</v>
      </c>
      <c r="B42" t="s">
        <v>2</v>
      </c>
      <c r="C42" t="s">
        <v>3</v>
      </c>
      <c r="E42" t="s">
        <v>1</v>
      </c>
      <c r="F42" t="s">
        <v>2</v>
      </c>
      <c r="G42" t="s">
        <v>3</v>
      </c>
      <c r="I42" t="s">
        <v>1</v>
      </c>
      <c r="J42" t="s">
        <v>2</v>
      </c>
      <c r="K42" t="s">
        <v>3</v>
      </c>
      <c r="M42" t="s">
        <v>1</v>
      </c>
      <c r="N42" t="s">
        <v>2</v>
      </c>
      <c r="O42" t="s">
        <v>3</v>
      </c>
      <c r="Q42" s="5" t="s">
        <v>1</v>
      </c>
      <c r="R42" s="5" t="s">
        <v>2</v>
      </c>
      <c r="S42" s="5" t="s">
        <v>3</v>
      </c>
      <c r="U42" t="s">
        <v>1</v>
      </c>
      <c r="V42" t="s">
        <v>2</v>
      </c>
      <c r="W42" t="s">
        <v>3</v>
      </c>
      <c r="Y42" t="s">
        <v>1</v>
      </c>
      <c r="Z42" t="s">
        <v>2</v>
      </c>
      <c r="AA42" t="s">
        <v>3</v>
      </c>
      <c r="AC42" t="s">
        <v>1</v>
      </c>
      <c r="AD42" t="s">
        <v>2</v>
      </c>
      <c r="AE42" t="s">
        <v>3</v>
      </c>
      <c r="AH42" t="s">
        <v>1</v>
      </c>
      <c r="AI42" t="s">
        <v>2</v>
      </c>
      <c r="AJ42" t="s">
        <v>3</v>
      </c>
      <c r="AL42" t="s">
        <v>1</v>
      </c>
      <c r="AM42" t="s">
        <v>2</v>
      </c>
      <c r="AN42" t="s">
        <v>3</v>
      </c>
      <c r="AP42" t="s">
        <v>1</v>
      </c>
      <c r="AQ42" t="s">
        <v>2</v>
      </c>
      <c r="AR42" t="s">
        <v>3</v>
      </c>
      <c r="AT42" t="s">
        <v>1</v>
      </c>
      <c r="AU42" t="s">
        <v>2</v>
      </c>
      <c r="AV42" t="s">
        <v>3</v>
      </c>
      <c r="AX42" t="s">
        <v>1</v>
      </c>
      <c r="AY42" t="s">
        <v>2</v>
      </c>
      <c r="AZ42" t="s">
        <v>3</v>
      </c>
    </row>
    <row r="43" spans="1:52" x14ac:dyDescent="0.25">
      <c r="A43">
        <v>1</v>
      </c>
      <c r="B43">
        <v>74.246122</v>
      </c>
      <c r="C43">
        <f>AVERAGE(B43:B47)</f>
        <v>71.712807174999995</v>
      </c>
      <c r="E43">
        <v>1</v>
      </c>
      <c r="F43">
        <v>272.83113809999998</v>
      </c>
      <c r="G43">
        <f>AVERAGE(F43:F47)</f>
        <v>273.05869363333335</v>
      </c>
      <c r="I43">
        <v>1</v>
      </c>
      <c r="J43">
        <v>55.593000000000004</v>
      </c>
      <c r="K43">
        <f>AVERAGE(J43:J47)</f>
        <v>59.820397700000001</v>
      </c>
      <c r="M43">
        <v>1</v>
      </c>
      <c r="N43" s="3">
        <v>6.9565999999999999</v>
      </c>
      <c r="O43">
        <f>AVERAGE(N43:N47)</f>
        <v>6.8865600000000002</v>
      </c>
      <c r="Q43" s="5">
        <v>1</v>
      </c>
      <c r="R43" s="5">
        <v>177.0489293</v>
      </c>
      <c r="S43" s="5">
        <f>AVERAGE(R43:R47)</f>
        <v>175.05989987500001</v>
      </c>
      <c r="U43">
        <v>1</v>
      </c>
      <c r="V43" s="3">
        <v>14.911199999999999</v>
      </c>
      <c r="W43">
        <f>AVERAGE(V43:V47)</f>
        <v>14.91968</v>
      </c>
      <c r="Y43">
        <v>1</v>
      </c>
      <c r="Z43" s="3">
        <v>60.3217</v>
      </c>
      <c r="AA43">
        <f>AVERAGE(Z43:Z47)</f>
        <v>60.381</v>
      </c>
      <c r="AC43">
        <v>1</v>
      </c>
      <c r="AD43" s="3">
        <v>47.0137</v>
      </c>
      <c r="AE43">
        <f>AVERAGE(AD43:AD47)</f>
        <v>46.681900000000006</v>
      </c>
      <c r="AH43">
        <v>1</v>
      </c>
      <c r="AI43" s="3">
        <v>288.69303000000002</v>
      </c>
      <c r="AJ43">
        <f>AVERAGE(AI43:AI47)</f>
        <v>287.02439500000003</v>
      </c>
      <c r="AL43">
        <v>1</v>
      </c>
      <c r="AM43" s="3">
        <v>439.36117999999999</v>
      </c>
      <c r="AN43">
        <f>AVERAGE(AM43:AM47)</f>
        <v>427.9076</v>
      </c>
      <c r="AP43">
        <v>1</v>
      </c>
      <c r="AQ43" s="3">
        <v>42.061320000000002</v>
      </c>
      <c r="AR43">
        <f>AVERAGE(AQ43:AQ47)</f>
        <v>43.063305</v>
      </c>
      <c r="AT43">
        <v>1</v>
      </c>
      <c r="AU43" s="3">
        <v>48.044400000000003</v>
      </c>
      <c r="AV43">
        <f>AVERAGE(AU43:AU47)</f>
        <v>47.3747325</v>
      </c>
      <c r="AX43">
        <v>1</v>
      </c>
      <c r="AY43" s="3">
        <v>19.689299999999999</v>
      </c>
      <c r="AZ43">
        <f>AVERAGE(AY43:AY47)</f>
        <v>20.698212000000002</v>
      </c>
    </row>
    <row r="44" spans="1:52" x14ac:dyDescent="0.25">
      <c r="A44">
        <v>2</v>
      </c>
      <c r="B44">
        <v>69.780378900000002</v>
      </c>
      <c r="C44">
        <f>C43/C43</f>
        <v>1</v>
      </c>
      <c r="E44">
        <v>2</v>
      </c>
      <c r="F44">
        <v>272.957404</v>
      </c>
      <c r="G44">
        <f>C43/G43</f>
        <v>0.26262781170152688</v>
      </c>
      <c r="I44">
        <v>2</v>
      </c>
      <c r="J44">
        <v>61.030951299999998</v>
      </c>
      <c r="K44">
        <f>C43/K43</f>
        <v>1.1988019125957765</v>
      </c>
      <c r="M44">
        <v>2</v>
      </c>
      <c r="N44" s="3">
        <v>6.8795999999999999</v>
      </c>
      <c r="O44">
        <f>$C$43/O43</f>
        <v>10.413444038097394</v>
      </c>
      <c r="Q44" s="5">
        <v>2</v>
      </c>
      <c r="R44" s="5">
        <v>173.90671750000001</v>
      </c>
      <c r="S44" s="5">
        <f>C43/S43</f>
        <v>0.40964725346127751</v>
      </c>
      <c r="U44">
        <v>2</v>
      </c>
      <c r="V44" s="3">
        <v>14.922499999999999</v>
      </c>
      <c r="W44">
        <f>$C43/W43</f>
        <v>4.8065915069894256</v>
      </c>
      <c r="Y44">
        <v>2</v>
      </c>
      <c r="Z44" s="3">
        <v>60.436900000000001</v>
      </c>
      <c r="AA44">
        <f>$C43/AA43</f>
        <v>1.1876717373842764</v>
      </c>
      <c r="AC44">
        <v>2</v>
      </c>
      <c r="AD44" s="3">
        <v>46.606999999999999</v>
      </c>
      <c r="AE44">
        <f>$C43/AE43</f>
        <v>1.5362015508151978</v>
      </c>
      <c r="AH44">
        <v>2</v>
      </c>
      <c r="AI44" s="3">
        <v>285.35575999999998</v>
      </c>
      <c r="AJ44">
        <f>C43/AJ43</f>
        <v>0.24984917109571814</v>
      </c>
      <c r="AL44">
        <v>2</v>
      </c>
      <c r="AM44" s="3">
        <v>416.45402000000001</v>
      </c>
      <c r="AN44">
        <f>C43/AN43</f>
        <v>0.16758946832213309</v>
      </c>
      <c r="AP44">
        <v>2</v>
      </c>
      <c r="AQ44" s="3">
        <v>44.495199999999997</v>
      </c>
      <c r="AR44">
        <f>C43/AR43</f>
        <v>1.6652880491871211</v>
      </c>
      <c r="AT44">
        <v>2</v>
      </c>
      <c r="AU44" s="3">
        <v>47.044159999999998</v>
      </c>
      <c r="AV44">
        <f>C43/AV43</f>
        <v>1.5137353477404858</v>
      </c>
      <c r="AX44">
        <v>2</v>
      </c>
      <c r="AY44" s="3">
        <v>20.857399999999998</v>
      </c>
      <c r="AZ44">
        <f>C43/AZ43</f>
        <v>3.4646860885858155</v>
      </c>
    </row>
    <row r="45" spans="1:52" x14ac:dyDescent="0.25">
      <c r="A45">
        <v>3</v>
      </c>
      <c r="B45">
        <v>72.880846399999996</v>
      </c>
      <c r="E45">
        <v>3</v>
      </c>
      <c r="F45">
        <v>273.38753880000002</v>
      </c>
      <c r="I45">
        <v>3</v>
      </c>
      <c r="J45">
        <v>61.7165009</v>
      </c>
      <c r="M45">
        <v>3</v>
      </c>
      <c r="N45" s="3">
        <v>6.8263999999999996</v>
      </c>
      <c r="Q45" s="5">
        <v>3</v>
      </c>
      <c r="R45" s="5">
        <v>174.6967698</v>
      </c>
      <c r="U45">
        <v>3</v>
      </c>
      <c r="V45" s="3">
        <v>14.926600000000001</v>
      </c>
      <c r="Y45">
        <v>3</v>
      </c>
      <c r="Z45" s="3">
        <v>60.384399999999999</v>
      </c>
      <c r="AC45">
        <v>3</v>
      </c>
      <c r="AD45" s="3">
        <v>46.424999999999997</v>
      </c>
      <c r="AH45">
        <v>3</v>
      </c>
      <c r="AI45" s="3"/>
      <c r="AL45">
        <v>3</v>
      </c>
      <c r="AM45" s="3"/>
      <c r="AP45">
        <v>3</v>
      </c>
      <c r="AQ45" s="3">
        <v>42.799230000000001</v>
      </c>
      <c r="AT45">
        <v>3</v>
      </c>
      <c r="AU45" s="3">
        <v>47.274830000000001</v>
      </c>
      <c r="AX45">
        <v>3</v>
      </c>
      <c r="AY45" s="3">
        <v>20.97082</v>
      </c>
    </row>
    <row r="46" spans="1:52" x14ac:dyDescent="0.25">
      <c r="A46">
        <v>4</v>
      </c>
      <c r="B46">
        <v>69.943881399999995</v>
      </c>
      <c r="E46">
        <v>4</v>
      </c>
      <c r="I46">
        <v>4</v>
      </c>
      <c r="J46">
        <v>60.941138600000002</v>
      </c>
      <c r="M46">
        <v>4</v>
      </c>
      <c r="N46" s="3">
        <v>6.9105999999999996</v>
      </c>
      <c r="Q46" s="5">
        <v>4</v>
      </c>
      <c r="R46" s="5">
        <v>174.58718289999999</v>
      </c>
      <c r="U46">
        <v>4</v>
      </c>
      <c r="V46" s="3">
        <v>14.923500000000001</v>
      </c>
      <c r="Y46">
        <v>4</v>
      </c>
      <c r="Z46" s="3"/>
      <c r="AC46">
        <v>4</v>
      </c>
      <c r="AD46" s="3"/>
      <c r="AH46">
        <v>4</v>
      </c>
      <c r="AI46" s="3"/>
      <c r="AL46">
        <v>4</v>
      </c>
      <c r="AM46" s="3"/>
      <c r="AP46">
        <v>4</v>
      </c>
      <c r="AQ46" s="3">
        <v>42.897469999999998</v>
      </c>
      <c r="AT46">
        <v>4</v>
      </c>
      <c r="AU46" s="3">
        <v>47.135539999999999</v>
      </c>
      <c r="AX46">
        <v>4</v>
      </c>
      <c r="AY46" s="3">
        <v>20.956240000000001</v>
      </c>
    </row>
    <row r="47" spans="1:52" x14ac:dyDescent="0.25">
      <c r="A47">
        <v>5</v>
      </c>
      <c r="E47">
        <v>5</v>
      </c>
      <c r="I47">
        <v>5</v>
      </c>
      <c r="M47">
        <v>5</v>
      </c>
      <c r="N47" s="3">
        <v>6.8596000000000004</v>
      </c>
      <c r="O47">
        <f>$AJ$43/O43</f>
        <v>41.678921696754259</v>
      </c>
      <c r="Q47" s="5">
        <v>5</v>
      </c>
      <c r="U47">
        <v>5</v>
      </c>
      <c r="V47" s="3">
        <v>14.9146</v>
      </c>
      <c r="W47">
        <f>$AJ$43/W43</f>
        <v>19.237972597267504</v>
      </c>
      <c r="Y47">
        <v>5</v>
      </c>
      <c r="Z47" s="3"/>
      <c r="AA47">
        <f>$AJ$43/AA43</f>
        <v>4.7535548434110071</v>
      </c>
      <c r="AC47">
        <v>5</v>
      </c>
      <c r="AD47" s="3"/>
      <c r="AE47">
        <f>$AJ$43/AE43</f>
        <v>6.148515698804033</v>
      </c>
      <c r="AH47">
        <v>5</v>
      </c>
      <c r="AI47" s="3"/>
      <c r="AJ47">
        <f>AJ43/AJ43</f>
        <v>1</v>
      </c>
      <c r="AL47">
        <v>5</v>
      </c>
      <c r="AM47" s="3"/>
      <c r="AN47">
        <f>AJ43/AN43</f>
        <v>0.67076255481323543</v>
      </c>
      <c r="AP47">
        <v>5</v>
      </c>
      <c r="AQ47" s="3"/>
      <c r="AR47">
        <f>AJ43/AR43</f>
        <v>6.665173399951537</v>
      </c>
      <c r="AT47">
        <v>5</v>
      </c>
      <c r="AU47" s="3"/>
      <c r="AV47">
        <f>AJ43/AV43</f>
        <v>6.0585966369308792</v>
      </c>
      <c r="AX47">
        <v>5</v>
      </c>
      <c r="AY47" s="3">
        <v>21.017299999999999</v>
      </c>
      <c r="AZ47">
        <f>AJ43/AZ43</f>
        <v>13.867110598731911</v>
      </c>
    </row>
    <row r="48" spans="1:52" x14ac:dyDescent="0.25">
      <c r="N48" s="3"/>
      <c r="V48" s="3"/>
      <c r="Z48" s="3"/>
      <c r="AD48" s="3"/>
      <c r="AI48" s="3"/>
      <c r="AM48" s="3"/>
      <c r="AQ48" s="3"/>
      <c r="AU48" s="3"/>
      <c r="AY48" s="3"/>
    </row>
    <row r="49" spans="1:51" x14ac:dyDescent="0.25">
      <c r="N49" s="3"/>
      <c r="V49" s="3"/>
      <c r="Z49" s="3"/>
      <c r="AD49" s="3"/>
      <c r="AI49" s="3"/>
      <c r="AM49" s="3"/>
      <c r="AQ49" s="3"/>
      <c r="AU49" s="3"/>
      <c r="AY49" s="3"/>
    </row>
    <row r="50" spans="1:51" x14ac:dyDescent="0.25">
      <c r="N50" s="3"/>
      <c r="U50" s="2" t="s">
        <v>25</v>
      </c>
      <c r="Y50" s="2" t="s">
        <v>21</v>
      </c>
      <c r="AD50" s="3"/>
      <c r="AI50" s="3"/>
      <c r="AM50" s="3"/>
      <c r="AQ50" s="3"/>
      <c r="AU50" s="3"/>
      <c r="AY50" s="3"/>
    </row>
    <row r="51" spans="1:51" x14ac:dyDescent="0.25">
      <c r="N51" s="3"/>
      <c r="U51" t="s">
        <v>1</v>
      </c>
      <c r="V51" t="s">
        <v>2</v>
      </c>
      <c r="W51" t="s">
        <v>3</v>
      </c>
      <c r="Y51" t="s">
        <v>1</v>
      </c>
      <c r="Z51" t="s">
        <v>2</v>
      </c>
      <c r="AA51" t="s">
        <v>3</v>
      </c>
      <c r="AD51" s="3"/>
      <c r="AI51" s="3"/>
      <c r="AM51" s="3"/>
      <c r="AQ51" s="3"/>
      <c r="AU51" s="3"/>
      <c r="AY51" s="3"/>
    </row>
    <row r="52" spans="1:51" x14ac:dyDescent="0.25">
      <c r="N52" s="3"/>
      <c r="U52">
        <v>1</v>
      </c>
      <c r="V52" s="3">
        <v>3.3250693</v>
      </c>
      <c r="W52">
        <f>AVERAGE(V52:V56)</f>
        <v>3.338739275</v>
      </c>
      <c r="Y52">
        <v>1</v>
      </c>
      <c r="Z52" s="3">
        <v>13.422094899999999</v>
      </c>
      <c r="AA52">
        <f>AVERAGE(Z52:Z56)</f>
        <v>13.309643724999999</v>
      </c>
      <c r="AD52" s="3"/>
      <c r="AI52" s="3"/>
      <c r="AM52" s="3"/>
      <c r="AQ52" s="3"/>
      <c r="AU52" s="3"/>
      <c r="AY52" s="3"/>
    </row>
    <row r="53" spans="1:51" x14ac:dyDescent="0.25">
      <c r="N53" s="3"/>
      <c r="U53">
        <v>2</v>
      </c>
      <c r="V53" s="3">
        <v>3.3514987000000001</v>
      </c>
      <c r="Y53">
        <v>2</v>
      </c>
      <c r="Z53" s="3">
        <v>13.242050799999999</v>
      </c>
      <c r="AD53" s="3"/>
      <c r="AI53" s="3"/>
      <c r="AM53" s="3"/>
      <c r="AQ53" s="3"/>
      <c r="AU53" s="3"/>
      <c r="AY53" s="3"/>
    </row>
    <row r="54" spans="1:51" x14ac:dyDescent="0.25">
      <c r="N54" s="3"/>
      <c r="U54">
        <v>3</v>
      </c>
      <c r="V54" s="3">
        <v>3.3425824</v>
      </c>
      <c r="Y54">
        <v>3</v>
      </c>
      <c r="Z54" s="3">
        <v>13.2523748</v>
      </c>
      <c r="AD54" s="3"/>
      <c r="AI54" s="3"/>
      <c r="AM54" s="3"/>
      <c r="AQ54" s="3"/>
      <c r="AU54" s="3"/>
      <c r="AY54" s="3"/>
    </row>
    <row r="55" spans="1:51" x14ac:dyDescent="0.25">
      <c r="U55">
        <v>4</v>
      </c>
      <c r="V55" s="3">
        <v>3.3358067</v>
      </c>
      <c r="Y55">
        <v>4</v>
      </c>
      <c r="Z55" s="3">
        <v>13.322054400000001</v>
      </c>
    </row>
    <row r="56" spans="1:51" x14ac:dyDescent="0.25">
      <c r="U56">
        <v>5</v>
      </c>
      <c r="V56" s="3"/>
      <c r="Y56">
        <v>5</v>
      </c>
      <c r="Z56" s="3"/>
    </row>
    <row r="57" spans="1:51" x14ac:dyDescent="0.25">
      <c r="V57" s="3"/>
      <c r="Z57" s="3"/>
    </row>
    <row r="58" spans="1:51" x14ac:dyDescent="0.25">
      <c r="V58" s="3"/>
      <c r="Z58" s="3"/>
    </row>
    <row r="59" spans="1:51" x14ac:dyDescent="0.25">
      <c r="A59" s="1" t="s">
        <v>4</v>
      </c>
    </row>
    <row r="60" spans="1:51" x14ac:dyDescent="0.25">
      <c r="A60" s="2" t="s">
        <v>10</v>
      </c>
      <c r="E60" t="s">
        <v>5</v>
      </c>
      <c r="I60" s="2" t="s">
        <v>6</v>
      </c>
      <c r="M60" s="2" t="s">
        <v>8</v>
      </c>
      <c r="Q60" s="2" t="s">
        <v>9</v>
      </c>
      <c r="U60" s="2" t="s">
        <v>20</v>
      </c>
      <c r="Y60" s="2" t="s">
        <v>21</v>
      </c>
      <c r="AC60" s="2" t="s">
        <v>22</v>
      </c>
    </row>
    <row r="61" spans="1:51" x14ac:dyDescent="0.25">
      <c r="A61" t="s">
        <v>1</v>
      </c>
      <c r="B61" t="s">
        <v>2</v>
      </c>
      <c r="C61" t="s">
        <v>3</v>
      </c>
      <c r="E61" t="s">
        <v>1</v>
      </c>
      <c r="F61" t="s">
        <v>2</v>
      </c>
      <c r="G61" t="s">
        <v>3</v>
      </c>
      <c r="I61" t="s">
        <v>1</v>
      </c>
      <c r="J61" t="s">
        <v>2</v>
      </c>
      <c r="K61" t="s">
        <v>3</v>
      </c>
      <c r="M61" t="s">
        <v>11</v>
      </c>
      <c r="Q61" s="5" t="s">
        <v>1</v>
      </c>
      <c r="R61" s="5" t="s">
        <v>2</v>
      </c>
      <c r="S61" s="5" t="s">
        <v>3</v>
      </c>
      <c r="U61" t="s">
        <v>1</v>
      </c>
      <c r="V61" t="s">
        <v>2</v>
      </c>
      <c r="W61" t="s">
        <v>3</v>
      </c>
      <c r="Y61" t="s">
        <v>11</v>
      </c>
      <c r="AC61" t="s">
        <v>1</v>
      </c>
      <c r="AD61" t="s">
        <v>2</v>
      </c>
      <c r="AE61" t="s">
        <v>3</v>
      </c>
    </row>
    <row r="62" spans="1:51" x14ac:dyDescent="0.25">
      <c r="A62">
        <v>1</v>
      </c>
      <c r="B62">
        <v>15.057809300000001</v>
      </c>
      <c r="C62">
        <f>AVERAGE(B62:B66)</f>
        <v>15.895668820000001</v>
      </c>
      <c r="E62">
        <v>1</v>
      </c>
      <c r="F62">
        <v>10.885956999999999</v>
      </c>
      <c r="G62">
        <f>AVERAGE(F62:F66)</f>
        <v>10.830768620000001</v>
      </c>
      <c r="I62">
        <v>1</v>
      </c>
      <c r="J62">
        <v>44.557088499999999</v>
      </c>
      <c r="K62">
        <f>AVERAGE(J62:J66)</f>
        <v>44.529572700000003</v>
      </c>
      <c r="M62">
        <v>1</v>
      </c>
      <c r="N62" s="3">
        <v>5.4680768000000004</v>
      </c>
      <c r="O62">
        <f>AVERAGE(N62:N66)</f>
        <v>5.48378546</v>
      </c>
      <c r="Q62" s="5">
        <v>1</v>
      </c>
      <c r="R62" s="5">
        <v>46.487228100000003</v>
      </c>
      <c r="S62" s="5">
        <f>AVERAGE(R62:R66)</f>
        <v>46.918316275000009</v>
      </c>
      <c r="U62">
        <v>1</v>
      </c>
      <c r="V62" s="3">
        <v>5.3802000000000003</v>
      </c>
      <c r="W62">
        <f>AVERAGE(V62:V66)</f>
        <v>5.3965399999999999</v>
      </c>
      <c r="Y62">
        <v>1</v>
      </c>
      <c r="Z62" s="3">
        <v>44.141100000000002</v>
      </c>
      <c r="AA62">
        <f>AVERAGE(Z62:Z66)</f>
        <v>44.16876666666667</v>
      </c>
      <c r="AC62">
        <v>1</v>
      </c>
      <c r="AD62" s="3">
        <v>19.469899999999999</v>
      </c>
      <c r="AE62">
        <f>AVERAGE(AD62:AD66)</f>
        <v>19.496133333333336</v>
      </c>
    </row>
    <row r="63" spans="1:51" x14ac:dyDescent="0.25">
      <c r="A63">
        <v>2</v>
      </c>
      <c r="B63">
        <v>14.9382825</v>
      </c>
      <c r="C63">
        <f>C43/C62</f>
        <v>4.5114683746286044</v>
      </c>
      <c r="E63">
        <v>2</v>
      </c>
      <c r="F63">
        <v>10.962088100000001</v>
      </c>
      <c r="G63">
        <f>C43/G62</f>
        <v>6.6212112631208617</v>
      </c>
      <c r="I63">
        <v>2</v>
      </c>
      <c r="J63">
        <v>45.373417699999997</v>
      </c>
      <c r="K63">
        <f>C43/K62</f>
        <v>1.6104535217109772</v>
      </c>
      <c r="M63">
        <v>2</v>
      </c>
      <c r="N63" s="3">
        <v>5.4852575000000003</v>
      </c>
      <c r="O63">
        <f>$C$43/O62</f>
        <v>13.077245216482265</v>
      </c>
      <c r="Q63" s="5">
        <v>2</v>
      </c>
      <c r="R63" s="5">
        <v>46.678159000000001</v>
      </c>
      <c r="S63" s="5">
        <f>C43/S62</f>
        <v>1.5284607988631405</v>
      </c>
      <c r="U63">
        <v>2</v>
      </c>
      <c r="V63" s="3">
        <v>5.4108999999999998</v>
      </c>
      <c r="W63">
        <f>$C43/W62</f>
        <v>13.288664065308511</v>
      </c>
      <c r="Y63">
        <v>2</v>
      </c>
      <c r="Z63" s="3">
        <v>44.173099999999998</v>
      </c>
      <c r="AA63">
        <f>$C43/AA62</f>
        <v>1.6236090021757454</v>
      </c>
      <c r="AC63">
        <v>2</v>
      </c>
      <c r="AD63" s="3">
        <v>19.567900000000002</v>
      </c>
      <c r="AE63">
        <f>$C43/AE62</f>
        <v>3.6783092292659734</v>
      </c>
    </row>
    <row r="64" spans="1:51" x14ac:dyDescent="0.25">
      <c r="A64">
        <v>3</v>
      </c>
      <c r="B64">
        <v>15.9895981</v>
      </c>
      <c r="E64">
        <v>3</v>
      </c>
      <c r="F64">
        <v>10.866589599999999</v>
      </c>
      <c r="I64">
        <v>3</v>
      </c>
      <c r="J64">
        <v>44.002736400000003</v>
      </c>
      <c r="M64">
        <v>3</v>
      </c>
      <c r="N64" s="3">
        <v>5.4731987999999996</v>
      </c>
      <c r="Q64" s="5">
        <v>3</v>
      </c>
      <c r="R64" s="5">
        <v>46.849820100000002</v>
      </c>
      <c r="U64">
        <v>3</v>
      </c>
      <c r="V64" s="3">
        <v>5.3959000000000001</v>
      </c>
      <c r="Y64">
        <v>3</v>
      </c>
      <c r="Z64" s="3">
        <v>44.192100000000003</v>
      </c>
      <c r="AC64">
        <v>3</v>
      </c>
      <c r="AD64" s="3">
        <v>19.450600000000001</v>
      </c>
    </row>
    <row r="65" spans="1:31" x14ac:dyDescent="0.25">
      <c r="A65">
        <v>4</v>
      </c>
      <c r="B65">
        <v>16.5211091</v>
      </c>
      <c r="E65">
        <v>4</v>
      </c>
      <c r="F65">
        <v>10.727589200000001</v>
      </c>
      <c r="I65">
        <v>4</v>
      </c>
      <c r="J65">
        <v>44.185048199999997</v>
      </c>
      <c r="M65">
        <v>4</v>
      </c>
      <c r="N65" s="3">
        <v>5.4900888999999999</v>
      </c>
      <c r="Q65" s="5">
        <v>4</v>
      </c>
      <c r="R65" s="5">
        <v>47.658057900000003</v>
      </c>
      <c r="U65">
        <v>4</v>
      </c>
      <c r="V65" s="3">
        <v>5.4053000000000004</v>
      </c>
      <c r="Y65">
        <v>4</v>
      </c>
      <c r="Z65" s="3"/>
      <c r="AC65">
        <v>4</v>
      </c>
      <c r="AD65" s="3"/>
    </row>
    <row r="66" spans="1:31" x14ac:dyDescent="0.25">
      <c r="A66">
        <v>5</v>
      </c>
      <c r="B66">
        <v>16.9715451</v>
      </c>
      <c r="E66">
        <v>5</v>
      </c>
      <c r="F66">
        <v>10.711619199999999</v>
      </c>
      <c r="I66">
        <v>5</v>
      </c>
      <c r="M66">
        <v>5</v>
      </c>
      <c r="N66" s="3">
        <v>5.5023052999999997</v>
      </c>
      <c r="O66" t="s">
        <v>12</v>
      </c>
      <c r="Q66" s="5">
        <v>5</v>
      </c>
      <c r="U66">
        <v>5</v>
      </c>
      <c r="V66" s="3">
        <v>5.3903999999999996</v>
      </c>
      <c r="W66" t="s">
        <v>12</v>
      </c>
      <c r="Y66">
        <v>5</v>
      </c>
      <c r="Z66" s="3"/>
      <c r="AA66" t="s">
        <v>12</v>
      </c>
      <c r="AC66">
        <v>5</v>
      </c>
      <c r="AD66" s="3"/>
      <c r="AE66" t="s">
        <v>12</v>
      </c>
    </row>
    <row r="67" spans="1:31" x14ac:dyDescent="0.25">
      <c r="N67" s="3"/>
      <c r="V67" s="3"/>
      <c r="Z67" s="3"/>
      <c r="AD67" s="3"/>
    </row>
    <row r="68" spans="1:31" x14ac:dyDescent="0.25">
      <c r="N68" s="3"/>
      <c r="V68" s="3"/>
      <c r="Z68" s="3"/>
      <c r="AD68" s="3"/>
    </row>
    <row r="69" spans="1:31" x14ac:dyDescent="0.25">
      <c r="N69" s="3"/>
      <c r="U69" s="2" t="s">
        <v>25</v>
      </c>
      <c r="Y69" s="2" t="s">
        <v>21</v>
      </c>
      <c r="AD69" s="3"/>
    </row>
    <row r="70" spans="1:31" x14ac:dyDescent="0.25">
      <c r="U70" t="s">
        <v>1</v>
      </c>
      <c r="V70" t="s">
        <v>2</v>
      </c>
      <c r="W70" t="s">
        <v>3</v>
      </c>
      <c r="Y70" t="s">
        <v>11</v>
      </c>
    </row>
    <row r="71" spans="1:31" x14ac:dyDescent="0.25">
      <c r="O71" t="s">
        <v>12</v>
      </c>
      <c r="U71">
        <v>1</v>
      </c>
      <c r="V71" s="3">
        <v>2.2473961</v>
      </c>
      <c r="W71">
        <f>AVERAGE(V71:V75)</f>
        <v>2.2548339750000004</v>
      </c>
      <c r="Y71">
        <v>1</v>
      </c>
      <c r="Z71" s="3">
        <v>10.0457345</v>
      </c>
      <c r="AA71">
        <f>AVERAGE(Z71:Z75)</f>
        <v>10.012766325000001</v>
      </c>
    </row>
    <row r="72" spans="1:31" x14ac:dyDescent="0.25">
      <c r="U72">
        <v>2</v>
      </c>
      <c r="V72" s="3">
        <v>2.2648792000000002</v>
      </c>
      <c r="Y72">
        <v>2</v>
      </c>
      <c r="Z72" s="3">
        <v>10.027438200000001</v>
      </c>
    </row>
    <row r="73" spans="1:31" x14ac:dyDescent="0.25">
      <c r="U73">
        <v>3</v>
      </c>
      <c r="V73" s="3">
        <v>2.2550222</v>
      </c>
      <c r="Y73">
        <v>3</v>
      </c>
      <c r="Z73" s="3">
        <v>10.019014200000001</v>
      </c>
    </row>
    <row r="74" spans="1:31" x14ac:dyDescent="0.25">
      <c r="U74">
        <v>4</v>
      </c>
      <c r="V74" s="3">
        <v>2.2520384</v>
      </c>
      <c r="Y74">
        <v>4</v>
      </c>
      <c r="Z74" s="3">
        <v>9.9588783999999997</v>
      </c>
    </row>
    <row r="75" spans="1:31" x14ac:dyDescent="0.25">
      <c r="U75">
        <v>5</v>
      </c>
      <c r="V75" s="3"/>
      <c r="W75" t="s">
        <v>12</v>
      </c>
      <c r="Y75">
        <v>5</v>
      </c>
      <c r="Z75" s="3"/>
      <c r="AA7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D5D5-E7BE-4393-BFAA-D85A07523543}">
  <dimension ref="A1:G23"/>
  <sheetViews>
    <sheetView zoomScale="90" zoomScaleNormal="90" workbookViewId="0">
      <selection activeCell="G8" sqref="G8"/>
    </sheetView>
  </sheetViews>
  <sheetFormatPr defaultRowHeight="15" x14ac:dyDescent="0.25"/>
  <sheetData>
    <row r="1" spans="1:7" x14ac:dyDescent="0.25">
      <c r="A1" s="4" t="s">
        <v>15</v>
      </c>
    </row>
    <row r="3" spans="1:7" x14ac:dyDescent="0.25">
      <c r="A3" s="1" t="s">
        <v>0</v>
      </c>
    </row>
    <row r="4" spans="1:7" x14ac:dyDescent="0.25">
      <c r="A4" s="2" t="s">
        <v>23</v>
      </c>
      <c r="E4" s="2" t="s">
        <v>24</v>
      </c>
    </row>
    <row r="5" spans="1:7" x14ac:dyDescent="0.25">
      <c r="A5" t="s">
        <v>1</v>
      </c>
      <c r="B5" t="s">
        <v>2</v>
      </c>
      <c r="C5" t="s">
        <v>3</v>
      </c>
      <c r="E5" t="s">
        <v>1</v>
      </c>
      <c r="F5" t="s">
        <v>2</v>
      </c>
      <c r="G5" t="s">
        <v>3</v>
      </c>
    </row>
    <row r="6" spans="1:7" x14ac:dyDescent="0.25">
      <c r="A6">
        <v>1</v>
      </c>
      <c r="B6">
        <v>18.503937000000001</v>
      </c>
      <c r="C6">
        <f>AVERAGE(B6:B10)</f>
        <v>18.821545399999998</v>
      </c>
      <c r="E6">
        <v>1</v>
      </c>
      <c r="F6">
        <v>10.93957</v>
      </c>
      <c r="G6">
        <f>AVERAGE(F6:F10)</f>
        <v>10.996487</v>
      </c>
    </row>
    <row r="7" spans="1:7" x14ac:dyDescent="0.25">
      <c r="A7">
        <v>2</v>
      </c>
      <c r="B7">
        <v>18.34441</v>
      </c>
      <c r="C7">
        <f>Sheet1!C5/Sheet2!C6</f>
        <v>1.8532810807342102</v>
      </c>
      <c r="E7">
        <v>2</v>
      </c>
      <c r="F7">
        <v>10.971608</v>
      </c>
      <c r="G7">
        <f>Sheet1!C5/Sheet2!G6</f>
        <v>3.1720688616282637</v>
      </c>
    </row>
    <row r="8" spans="1:7" x14ac:dyDescent="0.25">
      <c r="A8">
        <v>3</v>
      </c>
      <c r="B8">
        <v>19.319485</v>
      </c>
      <c r="E8">
        <v>3</v>
      </c>
      <c r="F8">
        <v>10.884793999999999</v>
      </c>
    </row>
    <row r="9" spans="1:7" x14ac:dyDescent="0.25">
      <c r="A9">
        <v>4</v>
      </c>
      <c r="B9">
        <v>18.599329999999998</v>
      </c>
      <c r="E9">
        <v>4</v>
      </c>
      <c r="F9">
        <v>11.07672</v>
      </c>
    </row>
    <row r="10" spans="1:7" x14ac:dyDescent="0.25">
      <c r="A10">
        <v>5</v>
      </c>
      <c r="B10">
        <v>19.340565000000002</v>
      </c>
      <c r="E10">
        <v>5</v>
      </c>
      <c r="F10">
        <v>11.109743</v>
      </c>
    </row>
    <row r="14" spans="1:7" x14ac:dyDescent="0.25">
      <c r="A14" s="4" t="s">
        <v>16</v>
      </c>
    </row>
    <row r="16" spans="1:7" x14ac:dyDescent="0.25">
      <c r="A16" s="1" t="s">
        <v>0</v>
      </c>
    </row>
    <row r="17" spans="1:7" x14ac:dyDescent="0.25">
      <c r="A17" s="2" t="s">
        <v>23</v>
      </c>
      <c r="E17" s="2" t="s">
        <v>24</v>
      </c>
    </row>
    <row r="18" spans="1:7" x14ac:dyDescent="0.25">
      <c r="A18" t="s">
        <v>1</v>
      </c>
      <c r="B18" t="s">
        <v>2</v>
      </c>
      <c r="C18" t="s">
        <v>3</v>
      </c>
      <c r="E18" t="s">
        <v>1</v>
      </c>
      <c r="F18" t="s">
        <v>2</v>
      </c>
      <c r="G18" t="s">
        <v>3</v>
      </c>
    </row>
    <row r="19" spans="1:7" x14ac:dyDescent="0.25">
      <c r="A19">
        <v>1</v>
      </c>
      <c r="B19">
        <v>58.867961999999999</v>
      </c>
      <c r="C19">
        <f>AVERAGE(B19:B23)</f>
        <v>59.3736435</v>
      </c>
      <c r="E19">
        <v>1</v>
      </c>
      <c r="F19">
        <v>31.952466999999999</v>
      </c>
      <c r="G19">
        <f>AVERAGE(F19:F23)</f>
        <v>32.1863034</v>
      </c>
    </row>
    <row r="20" spans="1:7" x14ac:dyDescent="0.25">
      <c r="A20">
        <v>2</v>
      </c>
      <c r="B20">
        <v>59.705162999999999</v>
      </c>
      <c r="C20">
        <f>Sheet1!C43/Sheet2!C19</f>
        <v>1.2078222414462403</v>
      </c>
      <c r="E20">
        <v>2</v>
      </c>
      <c r="F20">
        <v>31.914524</v>
      </c>
      <c r="G20">
        <f>Sheet1!C43/Sheet2!G19</f>
        <v>2.2280535382948012</v>
      </c>
    </row>
    <row r="21" spans="1:7" x14ac:dyDescent="0.25">
      <c r="A21">
        <v>3</v>
      </c>
      <c r="B21">
        <v>60.240524000000001</v>
      </c>
      <c r="E21">
        <v>3</v>
      </c>
      <c r="F21">
        <v>32.328451999999999</v>
      </c>
    </row>
    <row r="22" spans="1:7" x14ac:dyDescent="0.25">
      <c r="A22">
        <v>4</v>
      </c>
      <c r="B22">
        <v>58.680925000000002</v>
      </c>
      <c r="E22">
        <v>4</v>
      </c>
      <c r="F22">
        <v>32.314855000000001</v>
      </c>
    </row>
    <row r="23" spans="1:7" x14ac:dyDescent="0.25">
      <c r="A23">
        <v>5</v>
      </c>
      <c r="E23">
        <v>5</v>
      </c>
      <c r="F23">
        <v>32.421219000000001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时梁</dc:creator>
  <cp:lastModifiedBy>Shi, Liang</cp:lastModifiedBy>
  <dcterms:created xsi:type="dcterms:W3CDTF">2015-06-05T18:17:20Z</dcterms:created>
  <dcterms:modified xsi:type="dcterms:W3CDTF">2026-06-05T17:58:19Z</dcterms:modified>
</cp:coreProperties>
</file>