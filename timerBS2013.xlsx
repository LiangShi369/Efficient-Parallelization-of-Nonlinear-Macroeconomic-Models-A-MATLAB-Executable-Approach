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BaiduSyncdisk\working papers\Parallel computation with Mex\code_gitrepo\"/>
    </mc:Choice>
  </mc:AlternateContent>
  <xr:revisionPtr revIDLastSave="0" documentId="13_ncr:1_{F3EFBB8B-EFD9-4554-90F1-3324E758EC11}" xr6:coauthVersionLast="47" xr6:coauthVersionMax="47" xr10:uidLastSave="{00000000-0000-0000-0000-000000000000}"/>
  <bookViews>
    <workbookView xWindow="1290" yWindow="705" windowWidth="31695" windowHeight="18510" xr2:uid="{00000000-000D-0000-FFFF-FFFF00000000}"/>
  </bookViews>
  <sheets>
    <sheet name="Sheet1" sheetId="1" r:id="rId1"/>
    <sheet name="BlueBea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7" i="1" l="1"/>
  <c r="AA54" i="1"/>
  <c r="AA55" i="1" s="1"/>
  <c r="AA36" i="1"/>
  <c r="S54" i="1"/>
  <c r="S55" i="1" s="1"/>
  <c r="O28" i="1"/>
  <c r="S36" i="1"/>
  <c r="S37" i="1" s="1"/>
  <c r="AA45" i="1"/>
  <c r="AA27" i="1"/>
  <c r="AJ45" i="1" l="1"/>
  <c r="AE45" i="1"/>
  <c r="W45" i="1"/>
  <c r="S45" i="1"/>
  <c r="O45" i="1"/>
  <c r="K45" i="1"/>
  <c r="G45" i="1"/>
  <c r="C45" i="1"/>
  <c r="AJ46" i="1" s="1"/>
  <c r="S27" i="1"/>
  <c r="S15" i="1"/>
  <c r="S5" i="1"/>
  <c r="AJ15" i="1"/>
  <c r="AE15" i="1"/>
  <c r="W15" i="1"/>
  <c r="O15" i="1"/>
  <c r="K15" i="1"/>
  <c r="G15" i="1"/>
  <c r="C15" i="1"/>
  <c r="C16" i="1" s="1"/>
  <c r="AJ27" i="1"/>
  <c r="AE27" i="1"/>
  <c r="W27" i="1"/>
  <c r="O27" i="1"/>
  <c r="K27" i="1"/>
  <c r="G27" i="1"/>
  <c r="C27" i="1"/>
  <c r="C5" i="1"/>
  <c r="AE5" i="1"/>
  <c r="AJ5" i="1"/>
  <c r="W5" i="1"/>
  <c r="G5" i="1"/>
  <c r="K5" i="1"/>
  <c r="O5" i="1"/>
  <c r="C6" i="1" l="1"/>
  <c r="S6" i="1"/>
  <c r="S28" i="1"/>
  <c r="AA46" i="1"/>
  <c r="AA28" i="1"/>
  <c r="K46" i="1"/>
  <c r="O46" i="1"/>
  <c r="K28" i="1"/>
  <c r="S46" i="1"/>
  <c r="G46" i="1"/>
  <c r="C46" i="1"/>
  <c r="W46" i="1"/>
  <c r="AE46" i="1"/>
  <c r="S16" i="1"/>
  <c r="O6" i="1"/>
  <c r="O16" i="1"/>
  <c r="G16" i="1"/>
  <c r="K16" i="1"/>
  <c r="W16" i="1"/>
  <c r="AE16" i="1"/>
  <c r="AJ16" i="1"/>
  <c r="AJ28" i="1"/>
  <c r="G28" i="1"/>
  <c r="AE28" i="1"/>
  <c r="C28" i="1"/>
  <c r="W28" i="1"/>
  <c r="K6" i="1"/>
  <c r="AE6" i="1"/>
  <c r="W6" i="1"/>
  <c r="AJ6" i="1"/>
  <c r="G6" i="1"/>
</calcChain>
</file>

<file path=xl/sharedStrings.xml><?xml version="1.0" encoding="utf-8"?>
<sst xmlns="http://schemas.openxmlformats.org/spreadsheetml/2006/main" count="151" uniqueCount="20">
  <si>
    <t>experiments</t>
  </si>
  <si>
    <t xml:space="preserve">  seconds</t>
  </si>
  <si>
    <t>mean</t>
  </si>
  <si>
    <t>scripted serial</t>
  </si>
  <si>
    <t>mex parfor</t>
  </si>
  <si>
    <t>mex cuda</t>
  </si>
  <si>
    <t>mex serial</t>
  </si>
  <si>
    <t>mex cuda variable size nk=1000; ns = 1000</t>
  </si>
  <si>
    <t>mex parfor variable size nk=1000; ns = 1000</t>
  </si>
  <si>
    <t>scripted parfor</t>
  </si>
  <si>
    <t>nz 40, na 1001</t>
  </si>
  <si>
    <t>nz 40, na 1201</t>
  </si>
  <si>
    <t>nz 40, na 601</t>
  </si>
  <si>
    <t>mex parfor variable size na=2001</t>
  </si>
  <si>
    <t>mex cuda variable size na=2001</t>
  </si>
  <si>
    <t>mex cuda a10g aws g5.xlarge</t>
  </si>
  <si>
    <t>nz 40, na 1501</t>
  </si>
  <si>
    <t>mex parfor EPYC 7R13 aws c6a.8xlarge</t>
  </si>
  <si>
    <t>mex cuda rtx5070</t>
  </si>
  <si>
    <t>mex parfor Core ultra 260k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</si>
</sst>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8"/>
  <sheetViews>
    <sheetView tabSelected="1" topLeftCell="A19" zoomScale="80" zoomScaleNormal="80" workbookViewId="0">
      <selection activeCell="AC31" sqref="AC31"/>
    </sheetView>
  </sheetViews>
  <sheetFormatPr defaultRowHeight="15" x14ac:dyDescent="0.25"/>
  <cols>
    <col min="1" max="1" width="9.5703125" customWidth="1"/>
    <col min="2" max="2" width="11.7109375" customWidth="1"/>
    <col min="3" max="3" width="10.140625" customWidth="1"/>
    <col min="4" max="4" width="7.5703125" customWidth="1"/>
    <col min="8" max="8" width="5.85546875" customWidth="1"/>
    <col min="12" max="12" width="5.140625" customWidth="1"/>
    <col min="16" max="16" width="6.28515625" customWidth="1"/>
    <col min="17" max="17" width="8.85546875" customWidth="1"/>
    <col min="18" max="18" width="10.85546875" customWidth="1"/>
    <col min="19" max="19" width="13.42578125" customWidth="1"/>
    <col min="20" max="20" width="5.7109375" customWidth="1"/>
    <col min="21" max="22" width="10.7109375" customWidth="1"/>
    <col min="23" max="23" width="10.42578125" customWidth="1"/>
    <col min="24" max="24" width="5.85546875" customWidth="1"/>
    <col min="25" max="25" width="11.28515625" customWidth="1"/>
    <col min="26" max="26" width="10.7109375" customWidth="1"/>
    <col min="27" max="27" width="10.5703125" customWidth="1"/>
    <col min="28" max="28" width="14.42578125" customWidth="1"/>
    <col min="33" max="33" width="5.5703125" customWidth="1"/>
  </cols>
  <sheetData>
    <row r="1" spans="1:36" x14ac:dyDescent="0.25">
      <c r="A1" s="1" t="s">
        <v>12</v>
      </c>
    </row>
    <row r="3" spans="1:36" x14ac:dyDescent="0.25">
      <c r="A3" s="2" t="s">
        <v>9</v>
      </c>
      <c r="E3" s="2" t="s">
        <v>3</v>
      </c>
      <c r="I3" s="2" t="s">
        <v>4</v>
      </c>
      <c r="M3" s="2" t="s">
        <v>5</v>
      </c>
      <c r="Q3" s="2" t="s">
        <v>15</v>
      </c>
      <c r="U3" s="2" t="s">
        <v>6</v>
      </c>
      <c r="AC3" s="2" t="s">
        <v>13</v>
      </c>
      <c r="AH3" s="2" t="s">
        <v>14</v>
      </c>
    </row>
    <row r="4" spans="1:36" x14ac:dyDescent="0.25">
      <c r="A4" t="s">
        <v>0</v>
      </c>
      <c r="B4" t="s">
        <v>1</v>
      </c>
      <c r="C4" t="s">
        <v>2</v>
      </c>
      <c r="E4" t="s">
        <v>0</v>
      </c>
      <c r="F4" t="s">
        <v>1</v>
      </c>
      <c r="G4" t="s">
        <v>2</v>
      </c>
      <c r="I4" t="s">
        <v>0</v>
      </c>
      <c r="J4" t="s">
        <v>1</v>
      </c>
      <c r="K4" t="s">
        <v>2</v>
      </c>
      <c r="M4" t="s">
        <v>0</v>
      </c>
      <c r="N4" t="s">
        <v>1</v>
      </c>
      <c r="O4" t="s">
        <v>2</v>
      </c>
      <c r="Q4" t="s">
        <v>0</v>
      </c>
      <c r="R4" t="s">
        <v>1</v>
      </c>
      <c r="S4" t="s">
        <v>2</v>
      </c>
      <c r="U4" t="s">
        <v>0</v>
      </c>
      <c r="V4" t="s">
        <v>1</v>
      </c>
      <c r="W4" t="s">
        <v>2</v>
      </c>
      <c r="AC4" t="s">
        <v>0</v>
      </c>
      <c r="AD4" t="s">
        <v>1</v>
      </c>
      <c r="AE4" t="s">
        <v>2</v>
      </c>
      <c r="AH4" t="s">
        <v>0</v>
      </c>
      <c r="AI4" t="s">
        <v>1</v>
      </c>
      <c r="AJ4" t="s">
        <v>2</v>
      </c>
    </row>
    <row r="5" spans="1:36" x14ac:dyDescent="0.25">
      <c r="A5">
        <v>1</v>
      </c>
      <c r="B5">
        <v>358.15600000000001</v>
      </c>
      <c r="C5">
        <f>AVERAGE(B5:B9)</f>
        <v>366.95760000000001</v>
      </c>
      <c r="E5">
        <v>1</v>
      </c>
      <c r="F5">
        <v>89.129964200000003</v>
      </c>
      <c r="G5">
        <f>AVERAGE(F5:F9)</f>
        <v>88.011332100000004</v>
      </c>
      <c r="I5">
        <v>1</v>
      </c>
      <c r="J5">
        <v>10.584199999999999</v>
      </c>
      <c r="K5">
        <f>AVERAGE(J5:J9)</f>
        <v>10.444699999999999</v>
      </c>
      <c r="M5">
        <v>1</v>
      </c>
      <c r="N5">
        <v>6.5522</v>
      </c>
      <c r="O5">
        <f>AVERAGE(N5:N9)</f>
        <v>6.5421666666666667</v>
      </c>
      <c r="Q5">
        <v>1</v>
      </c>
      <c r="R5">
        <v>6.3605999999999998</v>
      </c>
      <c r="S5">
        <f>AVERAGE(R5:R9)</f>
        <v>6.2132500000000004</v>
      </c>
      <c r="U5">
        <v>1</v>
      </c>
      <c r="V5">
        <v>44.139000000000003</v>
      </c>
      <c r="W5">
        <f>AVERAGE(V5:V9)</f>
        <v>43.849050000000005</v>
      </c>
      <c r="AC5">
        <v>1</v>
      </c>
      <c r="AD5">
        <v>12.4916</v>
      </c>
      <c r="AE5">
        <f>AVERAGE(AD5:AD9)</f>
        <v>12.008966666666666</v>
      </c>
      <c r="AH5">
        <v>1</v>
      </c>
      <c r="AI5">
        <v>6.5453999999999999</v>
      </c>
      <c r="AJ5">
        <f>AVERAGE(AI5:AI9)</f>
        <v>6.5084666666666662</v>
      </c>
    </row>
    <row r="6" spans="1:36" x14ac:dyDescent="0.25">
      <c r="A6">
        <v>2</v>
      </c>
      <c r="B6">
        <v>375.75920000000002</v>
      </c>
      <c r="C6">
        <f>C5/C5</f>
        <v>1</v>
      </c>
      <c r="E6">
        <v>2</v>
      </c>
      <c r="F6">
        <v>86.892700000000005</v>
      </c>
      <c r="G6">
        <f>C5/G5</f>
        <v>4.1694358129139149</v>
      </c>
      <c r="I6">
        <v>2</v>
      </c>
      <c r="J6">
        <v>10.4099</v>
      </c>
      <c r="K6">
        <f>C5/K5</f>
        <v>35.133378651373427</v>
      </c>
      <c r="M6">
        <v>2</v>
      </c>
      <c r="N6">
        <v>6.4545000000000003</v>
      </c>
      <c r="O6">
        <f>$C$5/O5</f>
        <v>56.091142078312487</v>
      </c>
      <c r="Q6">
        <v>2</v>
      </c>
      <c r="R6">
        <v>6.2103999999999999</v>
      </c>
      <c r="S6">
        <f>$C5/S5</f>
        <v>59.060491691143923</v>
      </c>
      <c r="U6">
        <v>2</v>
      </c>
      <c r="V6">
        <v>43.559100000000001</v>
      </c>
      <c r="W6">
        <f>C5/W5</f>
        <v>8.3686556493242144</v>
      </c>
      <c r="AC6">
        <v>2</v>
      </c>
      <c r="AD6">
        <v>11.817600000000001</v>
      </c>
      <c r="AE6">
        <f>C5/AE5</f>
        <v>30.556967155098</v>
      </c>
      <c r="AH6">
        <v>2</v>
      </c>
      <c r="AI6">
        <v>6.5247999999999999</v>
      </c>
      <c r="AJ6">
        <f>C5/AJ5</f>
        <v>56.381574769274899</v>
      </c>
    </row>
    <row r="7" spans="1:36" x14ac:dyDescent="0.25">
      <c r="A7">
        <v>3</v>
      </c>
      <c r="E7">
        <v>3</v>
      </c>
      <c r="I7">
        <v>3</v>
      </c>
      <c r="J7">
        <v>10.34</v>
      </c>
      <c r="M7">
        <v>3</v>
      </c>
      <c r="N7">
        <v>6.6197999999999997</v>
      </c>
      <c r="Q7">
        <v>3</v>
      </c>
      <c r="R7">
        <v>6.1280999999999999</v>
      </c>
      <c r="U7">
        <v>3</v>
      </c>
      <c r="AC7">
        <v>3</v>
      </c>
      <c r="AD7">
        <v>11.717700000000001</v>
      </c>
      <c r="AH7">
        <v>3</v>
      </c>
      <c r="AI7">
        <v>6.4551999999999996</v>
      </c>
    </row>
    <row r="8" spans="1:36" x14ac:dyDescent="0.25">
      <c r="A8">
        <v>4</v>
      </c>
      <c r="E8">
        <v>4</v>
      </c>
      <c r="I8">
        <v>4</v>
      </c>
      <c r="M8">
        <v>4</v>
      </c>
      <c r="Q8">
        <v>4</v>
      </c>
      <c r="R8">
        <v>6.1539000000000001</v>
      </c>
      <c r="U8">
        <v>4</v>
      </c>
      <c r="AC8">
        <v>4</v>
      </c>
      <c r="AH8">
        <v>4</v>
      </c>
    </row>
    <row r="9" spans="1:36" x14ac:dyDescent="0.25">
      <c r="A9">
        <v>5</v>
      </c>
      <c r="E9">
        <v>5</v>
      </c>
      <c r="I9">
        <v>5</v>
      </c>
      <c r="M9">
        <v>5</v>
      </c>
      <c r="Q9">
        <v>5</v>
      </c>
      <c r="U9">
        <v>5</v>
      </c>
      <c r="AC9">
        <v>5</v>
      </c>
      <c r="AH9">
        <v>5</v>
      </c>
    </row>
    <row r="13" spans="1:36" x14ac:dyDescent="0.25">
      <c r="A13" s="1" t="s">
        <v>11</v>
      </c>
      <c r="Q13" s="2" t="s">
        <v>15</v>
      </c>
      <c r="AC13" s="2" t="s">
        <v>13</v>
      </c>
      <c r="AH13" s="2" t="s">
        <v>14</v>
      </c>
    </row>
    <row r="14" spans="1:36" x14ac:dyDescent="0.25">
      <c r="A14" t="s">
        <v>0</v>
      </c>
      <c r="B14" t="s">
        <v>1</v>
      </c>
      <c r="C14" t="s">
        <v>2</v>
      </c>
      <c r="E14" t="s">
        <v>0</v>
      </c>
      <c r="F14" t="s">
        <v>1</v>
      </c>
      <c r="G14" t="s">
        <v>2</v>
      </c>
      <c r="I14" t="s">
        <v>0</v>
      </c>
      <c r="J14" t="s">
        <v>1</v>
      </c>
      <c r="K14" t="s">
        <v>2</v>
      </c>
      <c r="M14" t="s">
        <v>0</v>
      </c>
      <c r="N14" t="s">
        <v>1</v>
      </c>
      <c r="O14" t="s">
        <v>2</v>
      </c>
      <c r="Q14" t="s">
        <v>0</v>
      </c>
      <c r="R14" t="s">
        <v>1</v>
      </c>
      <c r="S14" t="s">
        <v>2</v>
      </c>
      <c r="U14" t="s">
        <v>0</v>
      </c>
      <c r="V14" t="s">
        <v>1</v>
      </c>
      <c r="W14" t="s">
        <v>2</v>
      </c>
      <c r="AC14" t="s">
        <v>0</v>
      </c>
      <c r="AD14" t="s">
        <v>1</v>
      </c>
      <c r="AE14" t="s">
        <v>2</v>
      </c>
      <c r="AH14" t="s">
        <v>0</v>
      </c>
      <c r="AI14" t="s">
        <v>1</v>
      </c>
      <c r="AJ14" t="s">
        <v>2</v>
      </c>
    </row>
    <row r="15" spans="1:36" x14ac:dyDescent="0.25">
      <c r="A15">
        <v>1</v>
      </c>
      <c r="B15" s="3">
        <v>1642</v>
      </c>
      <c r="C15">
        <f>AVERAGE(B15:B19)</f>
        <v>1642</v>
      </c>
      <c r="E15">
        <v>1</v>
      </c>
      <c r="F15">
        <v>240.2458</v>
      </c>
      <c r="G15">
        <f>AVERAGE(F15:F19)</f>
        <v>243.16679999999999</v>
      </c>
      <c r="I15">
        <v>1</v>
      </c>
      <c r="J15">
        <v>40.2605</v>
      </c>
      <c r="K15">
        <f>AVERAGE(J15:J19)</f>
        <v>39.478120000000004</v>
      </c>
      <c r="M15">
        <v>1</v>
      </c>
      <c r="N15">
        <v>20.4498</v>
      </c>
      <c r="O15">
        <f>AVERAGE(N15:N19)</f>
        <v>20.479420000000001</v>
      </c>
      <c r="Q15">
        <v>1</v>
      </c>
      <c r="R15">
        <v>17.023399999999999</v>
      </c>
      <c r="S15">
        <f>AVERAGE(R15:R19)</f>
        <v>17.038440000000001</v>
      </c>
      <c r="U15">
        <v>1</v>
      </c>
      <c r="V15">
        <v>190.29310000000001</v>
      </c>
      <c r="W15">
        <f>AVERAGE(V15:V19)</f>
        <v>187.45440000000002</v>
      </c>
      <c r="AC15">
        <v>1</v>
      </c>
      <c r="AD15">
        <v>43.988599999999998</v>
      </c>
      <c r="AE15">
        <f>AVERAGE(AD15:AD19)</f>
        <v>43.274575000000006</v>
      </c>
      <c r="AH15">
        <v>1</v>
      </c>
      <c r="AI15">
        <v>21.177600000000002</v>
      </c>
      <c r="AJ15">
        <f>AVERAGE(AI15:AI19)</f>
        <v>21.014499999999998</v>
      </c>
    </row>
    <row r="16" spans="1:36" x14ac:dyDescent="0.25">
      <c r="A16">
        <v>2</v>
      </c>
      <c r="C16">
        <f>C15/C15</f>
        <v>1</v>
      </c>
      <c r="E16">
        <v>2</v>
      </c>
      <c r="F16">
        <v>246.08779999999999</v>
      </c>
      <c r="G16">
        <f>C15/G15</f>
        <v>6.7525665510258799</v>
      </c>
      <c r="I16">
        <v>2</v>
      </c>
      <c r="J16">
        <v>39.938800000000001</v>
      </c>
      <c r="K16">
        <f>C15/K15</f>
        <v>41.592659427551254</v>
      </c>
      <c r="M16">
        <v>2</v>
      </c>
      <c r="N16">
        <v>20.5242</v>
      </c>
      <c r="O16">
        <f>$C$15/O15</f>
        <v>80.178051917485945</v>
      </c>
      <c r="Q16">
        <v>2</v>
      </c>
      <c r="R16">
        <v>17.0641</v>
      </c>
      <c r="S16">
        <f>$C$15/S15</f>
        <v>96.370324982803581</v>
      </c>
      <c r="U16">
        <v>2</v>
      </c>
      <c r="V16">
        <v>184.6157</v>
      </c>
      <c r="W16">
        <f>C15/W15</f>
        <v>8.7594636348893378</v>
      </c>
      <c r="AC16">
        <v>2</v>
      </c>
      <c r="AD16">
        <v>40.985900000000001</v>
      </c>
      <c r="AE16">
        <f>C15/AE15</f>
        <v>37.943757968737991</v>
      </c>
      <c r="AH16">
        <v>2</v>
      </c>
      <c r="AI16">
        <v>20.878900000000002</v>
      </c>
      <c r="AJ16">
        <f>C15/AJ15</f>
        <v>78.136524780508708</v>
      </c>
    </row>
    <row r="17" spans="1:36" x14ac:dyDescent="0.25">
      <c r="A17">
        <v>3</v>
      </c>
      <c r="E17">
        <v>3</v>
      </c>
      <c r="I17">
        <v>3</v>
      </c>
      <c r="J17">
        <v>38.407200000000003</v>
      </c>
      <c r="M17">
        <v>3</v>
      </c>
      <c r="N17">
        <v>20.442499999999999</v>
      </c>
      <c r="Q17">
        <v>3</v>
      </c>
      <c r="R17">
        <v>17.014299999999999</v>
      </c>
      <c r="U17">
        <v>3</v>
      </c>
      <c r="AC17">
        <v>3</v>
      </c>
      <c r="AD17">
        <v>45.6843</v>
      </c>
      <c r="AH17">
        <v>3</v>
      </c>
      <c r="AI17">
        <v>21.165199999999999</v>
      </c>
    </row>
    <row r="18" spans="1:36" x14ac:dyDescent="0.25">
      <c r="A18">
        <v>4</v>
      </c>
      <c r="E18">
        <v>4</v>
      </c>
      <c r="I18">
        <v>4</v>
      </c>
      <c r="J18">
        <v>39.817500000000003</v>
      </c>
      <c r="M18">
        <v>4</v>
      </c>
      <c r="N18">
        <v>20.543800000000001</v>
      </c>
      <c r="Q18">
        <v>4</v>
      </c>
      <c r="R18">
        <v>17.053999999999998</v>
      </c>
      <c r="U18">
        <v>4</v>
      </c>
      <c r="AC18">
        <v>4</v>
      </c>
      <c r="AD18">
        <v>42.439500000000002</v>
      </c>
      <c r="AH18">
        <v>4</v>
      </c>
      <c r="AI18">
        <v>20.836300000000001</v>
      </c>
    </row>
    <row r="19" spans="1:36" x14ac:dyDescent="0.25">
      <c r="A19">
        <v>5</v>
      </c>
      <c r="E19">
        <v>5</v>
      </c>
      <c r="I19">
        <v>5</v>
      </c>
      <c r="J19">
        <v>38.9666</v>
      </c>
      <c r="M19">
        <v>5</v>
      </c>
      <c r="N19">
        <v>20.436800000000002</v>
      </c>
      <c r="Q19">
        <v>5</v>
      </c>
      <c r="R19">
        <v>17.0364</v>
      </c>
      <c r="U19">
        <v>5</v>
      </c>
      <c r="AC19">
        <v>5</v>
      </c>
      <c r="AH19">
        <v>5</v>
      </c>
    </row>
    <row r="22" spans="1:36" ht="14.25" customHeight="1" x14ac:dyDescent="0.25"/>
    <row r="24" spans="1:36" x14ac:dyDescent="0.25">
      <c r="A24" s="1" t="s">
        <v>10</v>
      </c>
    </row>
    <row r="25" spans="1:36" x14ac:dyDescent="0.25">
      <c r="A25" s="2" t="s">
        <v>9</v>
      </c>
      <c r="E25" s="2" t="s">
        <v>3</v>
      </c>
      <c r="I25" s="2" t="s">
        <v>4</v>
      </c>
      <c r="M25" s="2" t="s">
        <v>5</v>
      </c>
      <c r="Q25" s="2" t="s">
        <v>15</v>
      </c>
      <c r="U25" s="2" t="s">
        <v>6</v>
      </c>
      <c r="Y25" s="2" t="s">
        <v>17</v>
      </c>
      <c r="AC25" s="2" t="s">
        <v>8</v>
      </c>
      <c r="AH25" s="2" t="s">
        <v>7</v>
      </c>
    </row>
    <row r="26" spans="1:36" x14ac:dyDescent="0.25">
      <c r="A26" t="s">
        <v>0</v>
      </c>
      <c r="B26" t="s">
        <v>1</v>
      </c>
      <c r="C26" t="s">
        <v>2</v>
      </c>
      <c r="E26" t="s">
        <v>0</v>
      </c>
      <c r="F26" t="s">
        <v>1</v>
      </c>
      <c r="G26" t="s">
        <v>2</v>
      </c>
      <c r="I26" t="s">
        <v>0</v>
      </c>
      <c r="J26" t="s">
        <v>1</v>
      </c>
      <c r="K26" t="s">
        <v>2</v>
      </c>
      <c r="M26" t="s">
        <v>0</v>
      </c>
      <c r="N26" t="s">
        <v>1</v>
      </c>
      <c r="O26" t="s">
        <v>2</v>
      </c>
      <c r="Q26" t="s">
        <v>0</v>
      </c>
      <c r="R26" t="s">
        <v>1</v>
      </c>
      <c r="S26" t="s">
        <v>2</v>
      </c>
      <c r="U26" t="s">
        <v>0</v>
      </c>
      <c r="V26" t="s">
        <v>1</v>
      </c>
      <c r="W26" t="s">
        <v>2</v>
      </c>
      <c r="Y26" t="s">
        <v>0</v>
      </c>
      <c r="Z26" t="s">
        <v>1</v>
      </c>
      <c r="AA26" t="s">
        <v>2</v>
      </c>
      <c r="AC26" t="s">
        <v>0</v>
      </c>
      <c r="AD26" t="s">
        <v>1</v>
      </c>
      <c r="AE26" t="s">
        <v>2</v>
      </c>
      <c r="AH26" t="s">
        <v>0</v>
      </c>
      <c r="AI26" t="s">
        <v>1</v>
      </c>
      <c r="AJ26" t="s">
        <v>2</v>
      </c>
    </row>
    <row r="27" spans="1:36" x14ac:dyDescent="0.25">
      <c r="A27">
        <v>1</v>
      </c>
      <c r="B27">
        <v>1128.5999999999999</v>
      </c>
      <c r="C27">
        <f>AVERAGE(B27:B31)</f>
        <v>1128.5999999999999</v>
      </c>
      <c r="E27">
        <v>1</v>
      </c>
      <c r="F27">
        <v>191.67850000000001</v>
      </c>
      <c r="G27">
        <f>AVERAGE(F27:F31)</f>
        <v>190.68639999999999</v>
      </c>
      <c r="I27">
        <v>1</v>
      </c>
      <c r="J27">
        <v>29.6981</v>
      </c>
      <c r="K27">
        <f>AVERAGE(J27:J31)</f>
        <v>29.101599999999998</v>
      </c>
      <c r="M27">
        <v>1</v>
      </c>
      <c r="N27">
        <v>15.0983</v>
      </c>
      <c r="O27">
        <f>AVERAGE(N27:N31)</f>
        <v>15.009449999999999</v>
      </c>
      <c r="Q27">
        <v>1</v>
      </c>
      <c r="R27">
        <v>13.1212</v>
      </c>
      <c r="S27">
        <f>AVERAGE(R27:R31)</f>
        <v>13.141333333333334</v>
      </c>
      <c r="U27">
        <v>1</v>
      </c>
      <c r="V27">
        <v>132.91829999999999</v>
      </c>
      <c r="W27">
        <f>AVERAGE(V27:V31)</f>
        <v>136.20439999999999</v>
      </c>
      <c r="Y27">
        <v>1</v>
      </c>
      <c r="Z27">
        <v>24.524899999999999</v>
      </c>
      <c r="AA27">
        <f>AVERAGE(Z27:Z31)</f>
        <v>24.460474999999999</v>
      </c>
      <c r="AC27">
        <v>1</v>
      </c>
      <c r="AD27">
        <v>41.974600000000002</v>
      </c>
      <c r="AE27">
        <f>AVERAGE(AD27:AD31)</f>
        <v>42.684366666666669</v>
      </c>
      <c r="AH27">
        <v>1</v>
      </c>
      <c r="AI27">
        <v>16.010899999999999</v>
      </c>
      <c r="AJ27">
        <f>AVERAGE(AI27:AI31)</f>
        <v>15.953999999999999</v>
      </c>
    </row>
    <row r="28" spans="1:36" x14ac:dyDescent="0.25">
      <c r="A28">
        <v>2</v>
      </c>
      <c r="C28">
        <f>C27/C27</f>
        <v>1</v>
      </c>
      <c r="E28">
        <v>2</v>
      </c>
      <c r="F28">
        <v>189.6943</v>
      </c>
      <c r="G28">
        <f>C27/G27</f>
        <v>5.9186182129401992</v>
      </c>
      <c r="I28">
        <v>2</v>
      </c>
      <c r="J28">
        <v>29.845600000000001</v>
      </c>
      <c r="K28">
        <f>C27/K27</f>
        <v>38.781372845479289</v>
      </c>
      <c r="M28">
        <v>2</v>
      </c>
      <c r="N28">
        <v>14.995699999999999</v>
      </c>
      <c r="O28">
        <f>$C$27/O27</f>
        <v>75.192628643954308</v>
      </c>
      <c r="Q28">
        <v>2</v>
      </c>
      <c r="R28">
        <v>13.179500000000001</v>
      </c>
      <c r="S28">
        <f>$C27/S27</f>
        <v>85.881696428571416</v>
      </c>
      <c r="U28">
        <v>2</v>
      </c>
      <c r="V28">
        <v>139.4905</v>
      </c>
      <c r="W28">
        <f>C27/W27</f>
        <v>8.2860759270625621</v>
      </c>
      <c r="Y28">
        <v>2</v>
      </c>
      <c r="Z28">
        <v>24.4556</v>
      </c>
      <c r="AA28">
        <f>$C27/AA27</f>
        <v>46.13974176707525</v>
      </c>
      <c r="AC28">
        <v>2</v>
      </c>
      <c r="AD28">
        <v>42.915700000000001</v>
      </c>
      <c r="AE28">
        <f>C27/AE27</f>
        <v>26.440593784922033</v>
      </c>
      <c r="AH28">
        <v>2</v>
      </c>
      <c r="AI28">
        <v>16.0288</v>
      </c>
      <c r="AJ28">
        <f>C27/AJ27</f>
        <v>70.740880030086501</v>
      </c>
    </row>
    <row r="29" spans="1:36" x14ac:dyDescent="0.25">
      <c r="A29">
        <v>3</v>
      </c>
      <c r="E29">
        <v>3</v>
      </c>
      <c r="I29">
        <v>3</v>
      </c>
      <c r="J29">
        <v>28.1206</v>
      </c>
      <c r="M29">
        <v>3</v>
      </c>
      <c r="N29">
        <v>14.9719</v>
      </c>
      <c r="Q29">
        <v>3</v>
      </c>
      <c r="R29">
        <v>13.1233</v>
      </c>
      <c r="U29">
        <v>3</v>
      </c>
      <c r="Y29">
        <v>3</v>
      </c>
      <c r="Z29">
        <v>24.4039</v>
      </c>
      <c r="AC29">
        <v>3</v>
      </c>
      <c r="AD29">
        <v>43.162799999999997</v>
      </c>
      <c r="AH29">
        <v>3</v>
      </c>
      <c r="AI29">
        <v>15.8223</v>
      </c>
    </row>
    <row r="30" spans="1:36" x14ac:dyDescent="0.25">
      <c r="A30">
        <v>4</v>
      </c>
      <c r="E30">
        <v>4</v>
      </c>
      <c r="I30">
        <v>4</v>
      </c>
      <c r="J30">
        <v>28.742100000000001</v>
      </c>
      <c r="M30">
        <v>4</v>
      </c>
      <c r="N30">
        <v>14.9719</v>
      </c>
      <c r="Q30">
        <v>4</v>
      </c>
      <c r="U30">
        <v>4</v>
      </c>
      <c r="Y30">
        <v>4</v>
      </c>
      <c r="Z30">
        <v>24.4575</v>
      </c>
      <c r="AC30">
        <v>4</v>
      </c>
      <c r="AH30">
        <v>4</v>
      </c>
    </row>
    <row r="31" spans="1:36" x14ac:dyDescent="0.25">
      <c r="A31">
        <v>5</v>
      </c>
      <c r="E31">
        <v>5</v>
      </c>
      <c r="I31">
        <v>5</v>
      </c>
      <c r="M31">
        <v>5</v>
      </c>
      <c r="Q31">
        <v>5</v>
      </c>
      <c r="U31">
        <v>5</v>
      </c>
      <c r="Y31">
        <v>5</v>
      </c>
      <c r="AC31">
        <v>5</v>
      </c>
      <c r="AH31">
        <v>5</v>
      </c>
    </row>
    <row r="34" spans="1:36" x14ac:dyDescent="0.25">
      <c r="Q34" s="2" t="s">
        <v>18</v>
      </c>
      <c r="Y34" s="2" t="s">
        <v>19</v>
      </c>
    </row>
    <row r="35" spans="1:36" x14ac:dyDescent="0.25">
      <c r="Q35" t="s">
        <v>0</v>
      </c>
      <c r="R35" t="s">
        <v>1</v>
      </c>
      <c r="S35" t="s">
        <v>2</v>
      </c>
      <c r="Y35" t="s">
        <v>0</v>
      </c>
      <c r="Z35" t="s">
        <v>1</v>
      </c>
      <c r="AA35" t="s">
        <v>2</v>
      </c>
    </row>
    <row r="36" spans="1:36" x14ac:dyDescent="0.25">
      <c r="Q36">
        <v>1</v>
      </c>
      <c r="R36">
        <v>4.4306999999999999</v>
      </c>
      <c r="S36">
        <f>AVERAGE(R36:R40)</f>
        <v>4.1357400000000002</v>
      </c>
      <c r="Y36">
        <v>1</v>
      </c>
      <c r="Z36">
        <v>11.552</v>
      </c>
      <c r="AA36">
        <f>AVERAGE(Z36:Z40)</f>
        <v>11.5526</v>
      </c>
    </row>
    <row r="37" spans="1:36" x14ac:dyDescent="0.25">
      <c r="Q37">
        <v>2</v>
      </c>
      <c r="R37">
        <v>4.0636999999999999</v>
      </c>
      <c r="S37">
        <f>C27/S36</f>
        <v>272.88949498759592</v>
      </c>
      <c r="Y37">
        <v>2</v>
      </c>
      <c r="Z37">
        <v>11.490600000000001</v>
      </c>
      <c r="AA37">
        <f>C27/AA36</f>
        <v>97.692294375292136</v>
      </c>
    </row>
    <row r="38" spans="1:36" x14ac:dyDescent="0.25">
      <c r="Q38">
        <v>3</v>
      </c>
      <c r="R38">
        <v>4.0926</v>
      </c>
      <c r="Y38">
        <v>3</v>
      </c>
      <c r="Z38">
        <v>11.4681</v>
      </c>
    </row>
    <row r="39" spans="1:36" x14ac:dyDescent="0.25">
      <c r="Q39">
        <v>4</v>
      </c>
      <c r="R39">
        <v>4.0278999999999998</v>
      </c>
      <c r="Y39">
        <v>4</v>
      </c>
      <c r="Z39">
        <v>11.6997</v>
      </c>
    </row>
    <row r="40" spans="1:36" x14ac:dyDescent="0.25">
      <c r="Q40">
        <v>5</v>
      </c>
      <c r="R40">
        <v>4.0637999999999996</v>
      </c>
      <c r="Y40">
        <v>5</v>
      </c>
    </row>
    <row r="42" spans="1:36" x14ac:dyDescent="0.25">
      <c r="A42" s="1" t="s">
        <v>16</v>
      </c>
    </row>
    <row r="43" spans="1:36" x14ac:dyDescent="0.25">
      <c r="A43" s="2" t="s">
        <v>9</v>
      </c>
      <c r="E43" s="2" t="s">
        <v>3</v>
      </c>
      <c r="I43" s="2" t="s">
        <v>4</v>
      </c>
      <c r="M43" s="2" t="s">
        <v>5</v>
      </c>
      <c r="Q43" s="2" t="s">
        <v>15</v>
      </c>
      <c r="U43" s="2" t="s">
        <v>6</v>
      </c>
      <c r="Y43" s="2" t="s">
        <v>17</v>
      </c>
      <c r="AC43" s="2" t="s">
        <v>8</v>
      </c>
      <c r="AH43" s="2" t="s">
        <v>7</v>
      </c>
    </row>
    <row r="44" spans="1:36" x14ac:dyDescent="0.25">
      <c r="A44" t="s">
        <v>0</v>
      </c>
      <c r="B44" t="s">
        <v>1</v>
      </c>
      <c r="C44" t="s">
        <v>2</v>
      </c>
      <c r="E44" t="s">
        <v>0</v>
      </c>
      <c r="F44" t="s">
        <v>1</v>
      </c>
      <c r="G44" t="s">
        <v>2</v>
      </c>
      <c r="I44" t="s">
        <v>0</v>
      </c>
      <c r="J44" t="s">
        <v>1</v>
      </c>
      <c r="K44" t="s">
        <v>2</v>
      </c>
      <c r="M44" t="s">
        <v>0</v>
      </c>
      <c r="N44" t="s">
        <v>1</v>
      </c>
      <c r="O44" t="s">
        <v>2</v>
      </c>
      <c r="Q44" t="s">
        <v>0</v>
      </c>
      <c r="R44" t="s">
        <v>1</v>
      </c>
      <c r="S44" t="s">
        <v>2</v>
      </c>
      <c r="U44" t="s">
        <v>0</v>
      </c>
      <c r="V44" t="s">
        <v>1</v>
      </c>
      <c r="W44" t="s">
        <v>2</v>
      </c>
      <c r="Y44" t="s">
        <v>0</v>
      </c>
      <c r="Z44" t="s">
        <v>1</v>
      </c>
      <c r="AA44" t="s">
        <v>2</v>
      </c>
      <c r="AC44" t="s">
        <v>0</v>
      </c>
      <c r="AD44" t="s">
        <v>1</v>
      </c>
      <c r="AE44" t="s">
        <v>2</v>
      </c>
      <c r="AH44" t="s">
        <v>0</v>
      </c>
      <c r="AI44" t="s">
        <v>1</v>
      </c>
      <c r="AJ44" t="s">
        <v>2</v>
      </c>
    </row>
    <row r="45" spans="1:36" x14ac:dyDescent="0.25">
      <c r="A45">
        <v>1</v>
      </c>
      <c r="B45">
        <v>6555.9248430842972</v>
      </c>
      <c r="C45">
        <f>AVERAGE(B45:B49)</f>
        <v>6555.9248430842972</v>
      </c>
      <c r="E45">
        <v>1</v>
      </c>
      <c r="F45">
        <v>262.82830000000001</v>
      </c>
      <c r="G45">
        <f>AVERAGE(F45:F49)</f>
        <v>265.1619</v>
      </c>
      <c r="I45">
        <v>1</v>
      </c>
      <c r="J45">
        <v>50.471699999999998</v>
      </c>
      <c r="K45">
        <f>AVERAGE(J45:J49)</f>
        <v>48.385349999999995</v>
      </c>
      <c r="M45">
        <v>1</v>
      </c>
      <c r="N45">
        <v>23.0943</v>
      </c>
      <c r="O45">
        <f>AVERAGE(N45:N49)</f>
        <v>22.716500000000003</v>
      </c>
      <c r="Q45">
        <v>1</v>
      </c>
      <c r="R45">
        <v>20.290400000000002</v>
      </c>
      <c r="S45">
        <f>AVERAGE(R45:R49)</f>
        <v>20.446575000000003</v>
      </c>
      <c r="U45">
        <v>1</v>
      </c>
      <c r="V45">
        <v>240.43860000000001</v>
      </c>
      <c r="W45">
        <f>AVERAGE(V45:V49)</f>
        <v>238.69675000000001</v>
      </c>
      <c r="Y45">
        <v>1</v>
      </c>
      <c r="Z45">
        <v>38.311</v>
      </c>
      <c r="AA45">
        <f>AVERAGE(Z45:Z49)</f>
        <v>38.056475000000006</v>
      </c>
      <c r="AC45">
        <v>1</v>
      </c>
      <c r="AE45" t="e">
        <f>AVERAGE(AD45:AD49)</f>
        <v>#DIV/0!</v>
      </c>
      <c r="AH45">
        <v>1</v>
      </c>
      <c r="AJ45" t="e">
        <f>AVERAGE(AI45:AI49)</f>
        <v>#DIV/0!</v>
      </c>
    </row>
    <row r="46" spans="1:36" x14ac:dyDescent="0.25">
      <c r="A46">
        <v>2</v>
      </c>
      <c r="C46">
        <f>C45/C45</f>
        <v>1</v>
      </c>
      <c r="E46">
        <v>2</v>
      </c>
      <c r="F46">
        <v>267.49549999999999</v>
      </c>
      <c r="G46">
        <f>$C45/G45</f>
        <v>24.724233923064727</v>
      </c>
      <c r="I46">
        <v>2</v>
      </c>
      <c r="J46">
        <v>50.063099999999999</v>
      </c>
      <c r="K46">
        <f>$C45/K45</f>
        <v>135.49400475731389</v>
      </c>
      <c r="M46">
        <v>2</v>
      </c>
      <c r="N46">
        <v>22.806100000000001</v>
      </c>
      <c r="O46">
        <f>$C45/O45</f>
        <v>288.59748830516565</v>
      </c>
      <c r="Q46">
        <v>2</v>
      </c>
      <c r="R46">
        <v>20.142499999999998</v>
      </c>
      <c r="S46">
        <f>$C45/S45</f>
        <v>320.63682269936635</v>
      </c>
      <c r="U46">
        <v>2</v>
      </c>
      <c r="V46">
        <v>236.95490000000001</v>
      </c>
      <c r="W46">
        <f>C45/W45</f>
        <v>27.465496882903924</v>
      </c>
      <c r="Y46">
        <v>2</v>
      </c>
      <c r="Z46">
        <v>37.948599999999999</v>
      </c>
      <c r="AA46">
        <f>$C45/AA45</f>
        <v>172.26831552539471</v>
      </c>
      <c r="AC46">
        <v>2</v>
      </c>
      <c r="AE46" t="e">
        <f>C45/AE45</f>
        <v>#DIV/0!</v>
      </c>
      <c r="AH46">
        <v>2</v>
      </c>
      <c r="AJ46" t="e">
        <f>C45/AJ45</f>
        <v>#DIV/0!</v>
      </c>
    </row>
    <row r="47" spans="1:36" x14ac:dyDescent="0.25">
      <c r="A47">
        <v>3</v>
      </c>
      <c r="E47">
        <v>3</v>
      </c>
      <c r="I47">
        <v>3</v>
      </c>
      <c r="J47">
        <v>46.892699999999998</v>
      </c>
      <c r="M47">
        <v>3</v>
      </c>
      <c r="N47">
        <v>22.4894</v>
      </c>
      <c r="Q47">
        <v>3</v>
      </c>
      <c r="R47">
        <v>21.1067</v>
      </c>
      <c r="U47">
        <v>3</v>
      </c>
      <c r="Y47">
        <v>3</v>
      </c>
      <c r="Z47">
        <v>37.959899999999998</v>
      </c>
      <c r="AC47">
        <v>3</v>
      </c>
      <c r="AH47">
        <v>3</v>
      </c>
    </row>
    <row r="48" spans="1:36" x14ac:dyDescent="0.25">
      <c r="A48">
        <v>4</v>
      </c>
      <c r="E48">
        <v>4</v>
      </c>
      <c r="I48">
        <v>4</v>
      </c>
      <c r="J48">
        <v>46.113900000000001</v>
      </c>
      <c r="M48">
        <v>4</v>
      </c>
      <c r="N48">
        <v>22.476199999999999</v>
      </c>
      <c r="Q48">
        <v>4</v>
      </c>
      <c r="R48">
        <v>20.246700000000001</v>
      </c>
      <c r="U48">
        <v>4</v>
      </c>
      <c r="Y48">
        <v>4</v>
      </c>
      <c r="Z48">
        <v>38.006399999999999</v>
      </c>
      <c r="AC48">
        <v>4</v>
      </c>
      <c r="AH48">
        <v>4</v>
      </c>
    </row>
    <row r="49" spans="1:34" x14ac:dyDescent="0.25">
      <c r="A49">
        <v>5</v>
      </c>
      <c r="E49">
        <v>5</v>
      </c>
      <c r="I49">
        <v>5</v>
      </c>
      <c r="M49">
        <v>5</v>
      </c>
      <c r="Q49">
        <v>5</v>
      </c>
      <c r="U49">
        <v>5</v>
      </c>
      <c r="Y49">
        <v>5</v>
      </c>
      <c r="AC49">
        <v>5</v>
      </c>
      <c r="AH49">
        <v>5</v>
      </c>
    </row>
    <row r="52" spans="1:34" x14ac:dyDescent="0.25">
      <c r="Q52" s="2" t="s">
        <v>18</v>
      </c>
      <c r="Y52" s="2" t="s">
        <v>19</v>
      </c>
    </row>
    <row r="53" spans="1:34" x14ac:dyDescent="0.25">
      <c r="Q53" t="s">
        <v>0</v>
      </c>
      <c r="R53" t="s">
        <v>1</v>
      </c>
      <c r="S53" t="s">
        <v>2</v>
      </c>
      <c r="Y53" t="s">
        <v>0</v>
      </c>
      <c r="Z53" t="s">
        <v>1</v>
      </c>
      <c r="AA53" t="s">
        <v>2</v>
      </c>
    </row>
    <row r="54" spans="1:34" x14ac:dyDescent="0.25">
      <c r="Q54">
        <v>1</v>
      </c>
      <c r="R54">
        <v>6.0633999999999997</v>
      </c>
      <c r="S54">
        <f>AVERAGE(R54:R58)</f>
        <v>5.5073500000000006</v>
      </c>
      <c r="Y54">
        <v>1</v>
      </c>
      <c r="Z54">
        <v>17.591100000000001</v>
      </c>
      <c r="AA54">
        <f>AVERAGE(Z54:Z58)</f>
        <v>17.707625</v>
      </c>
    </row>
    <row r="55" spans="1:34" x14ac:dyDescent="0.25">
      <c r="Q55">
        <v>2</v>
      </c>
      <c r="R55">
        <v>5.4943999999999997</v>
      </c>
      <c r="S55">
        <f>C45/S54</f>
        <v>1190.395533801973</v>
      </c>
      <c r="Y55">
        <v>2</v>
      </c>
      <c r="Z55">
        <v>17.809899999999999</v>
      </c>
      <c r="AA55">
        <f>C45/AA54</f>
        <v>370.23174158501195</v>
      </c>
    </row>
    <row r="56" spans="1:34" x14ac:dyDescent="0.25">
      <c r="Q56">
        <v>3</v>
      </c>
      <c r="R56">
        <v>5.2706</v>
      </c>
      <c r="Y56">
        <v>3</v>
      </c>
      <c r="Z56">
        <v>17.760000000000002</v>
      </c>
    </row>
    <row r="57" spans="1:34" x14ac:dyDescent="0.25">
      <c r="Q57">
        <v>4</v>
      </c>
      <c r="R57">
        <v>5.2009999999999996</v>
      </c>
      <c r="Y57">
        <v>4</v>
      </c>
      <c r="Z57">
        <v>17.669499999999999</v>
      </c>
    </row>
    <row r="58" spans="1:34" x14ac:dyDescent="0.25">
      <c r="Q58">
        <v>5</v>
      </c>
      <c r="Y58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C03DD-0FBE-488F-869A-7BE778B911F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BlueBear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时梁</dc:creator>
  <cp:lastModifiedBy>Shi, Liang</cp:lastModifiedBy>
  <dcterms:created xsi:type="dcterms:W3CDTF">2015-06-05T18:17:20Z</dcterms:created>
  <dcterms:modified xsi:type="dcterms:W3CDTF">2026-06-05T16:37:13Z</dcterms:modified>
</cp:coreProperties>
</file>