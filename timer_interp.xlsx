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working papers\Parallel computation with Mex\code_gitrepo\"/>
    </mc:Choice>
  </mc:AlternateContent>
  <xr:revisionPtr revIDLastSave="0" documentId="13_ncr:1_{AD618BD5-7C57-440E-A8E4-BB2B0D1FA8C3}" xr6:coauthVersionLast="47" xr6:coauthVersionMax="47" xr10:uidLastSave="{00000000-0000-0000-0000-000000000000}"/>
  <bookViews>
    <workbookView xWindow="2580" yWindow="150" windowWidth="31020" windowHeight="18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 s="1"/>
  <c r="AA14" i="1"/>
  <c r="O5" i="1"/>
  <c r="AE5" i="1"/>
  <c r="AA24" i="1"/>
  <c r="AA25" i="1" s="1"/>
  <c r="AA5" i="1"/>
  <c r="W24" i="1"/>
  <c r="S24" i="1"/>
  <c r="O24" i="1"/>
  <c r="K24" i="1"/>
  <c r="G24" i="1"/>
  <c r="C24" i="1"/>
  <c r="W5" i="1"/>
  <c r="W25" i="1" l="1"/>
  <c r="C25" i="1"/>
  <c r="G25" i="1"/>
  <c r="K25" i="1"/>
  <c r="O25" i="1"/>
  <c r="S25" i="1"/>
  <c r="O37" i="1"/>
  <c r="S50" i="1" l="1"/>
  <c r="O50" i="1"/>
  <c r="K50" i="1"/>
  <c r="G50" i="1"/>
  <c r="C50" i="1"/>
  <c r="C51" i="1" s="1"/>
  <c r="S37" i="1"/>
  <c r="K37" i="1"/>
  <c r="G37" i="1"/>
  <c r="C37" i="1"/>
  <c r="O38" i="1" s="1"/>
  <c r="C5" i="1"/>
  <c r="O6" i="1" s="1"/>
  <c r="G5" i="1"/>
  <c r="S5" i="1"/>
  <c r="K5" i="1"/>
  <c r="AA6" i="1" l="1"/>
  <c r="AE6" i="1"/>
  <c r="W6" i="1"/>
  <c r="O51" i="1"/>
  <c r="K51" i="1"/>
  <c r="G51" i="1"/>
  <c r="C38" i="1"/>
  <c r="S51" i="1"/>
  <c r="G38" i="1"/>
  <c r="K38" i="1"/>
  <c r="S38" i="1"/>
  <c r="S6" i="1"/>
  <c r="K6" i="1"/>
  <c r="C6" i="1"/>
  <c r="G6" i="1"/>
</calcChain>
</file>

<file path=xl/sharedStrings.xml><?xml version="1.0" encoding="utf-8"?>
<sst xmlns="http://schemas.openxmlformats.org/spreadsheetml/2006/main" count="113" uniqueCount="18">
  <si>
    <t>experiments</t>
  </si>
  <si>
    <t xml:space="preserve">  seconds</t>
  </si>
  <si>
    <t>mean</t>
  </si>
  <si>
    <t>scripted serial</t>
  </si>
  <si>
    <t>mex parfor</t>
  </si>
  <si>
    <t>mex cuda</t>
  </si>
  <si>
    <t>scripted parfor</t>
  </si>
  <si>
    <t>mex serial</t>
  </si>
  <si>
    <t>ny=31, nb=100</t>
  </si>
  <si>
    <t>nz=15, nm=15, nb=60</t>
  </si>
  <si>
    <t>nz=25, nm=25, nb=80</t>
  </si>
  <si>
    <t>mex cuda A10G</t>
  </si>
  <si>
    <t>nz=31, nm=31, nb=80</t>
  </si>
  <si>
    <t>mex parfor EPYC 7R13 aws c6a.8xlarge</t>
  </si>
  <si>
    <t>scripted parfor EPYC 7R13 aws c6a.8xlarge</t>
  </si>
  <si>
    <t>16cores</t>
  </si>
  <si>
    <t>mex parfor 265k</t>
  </si>
  <si>
    <t>mex cuda rtx5070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</si>
</sst>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abSelected="1" zoomScale="90" zoomScaleNormal="90" workbookViewId="0">
      <selection activeCell="AC17" sqref="AC17"/>
    </sheetView>
  </sheetViews>
  <sheetFormatPr defaultRowHeight="15" x14ac:dyDescent="0.25"/>
  <cols>
    <col min="1" max="1" width="9.140625" customWidth="1"/>
    <col min="2" max="2" width="13.140625" customWidth="1"/>
    <col min="4" max="4" width="4.5703125" customWidth="1"/>
    <col min="5" max="5" width="6" customWidth="1"/>
    <col min="8" max="8" width="4.42578125" customWidth="1"/>
    <col min="9" max="9" width="7.140625" customWidth="1"/>
    <col min="12" max="12" width="3.5703125" customWidth="1"/>
    <col min="13" max="13" width="7.5703125" customWidth="1"/>
    <col min="16" max="16" width="4.28515625" customWidth="1"/>
    <col min="17" max="17" width="7.28515625" style="4" customWidth="1"/>
    <col min="18" max="19" width="9.140625" style="4"/>
    <col min="20" max="20" width="4.5703125" customWidth="1"/>
    <col min="24" max="24" width="4.28515625" customWidth="1"/>
    <col min="28" max="28" width="10.7109375" customWidth="1"/>
  </cols>
  <sheetData>
    <row r="1" spans="1:31" x14ac:dyDescent="0.25">
      <c r="A1" s="3" t="s">
        <v>10</v>
      </c>
    </row>
    <row r="2" spans="1:31" x14ac:dyDescent="0.25">
      <c r="Y2" t="s">
        <v>15</v>
      </c>
    </row>
    <row r="3" spans="1:31" x14ac:dyDescent="0.25">
      <c r="A3" s="1" t="s">
        <v>6</v>
      </c>
      <c r="E3" s="1" t="s">
        <v>3</v>
      </c>
      <c r="I3" s="1" t="s">
        <v>4</v>
      </c>
      <c r="M3" s="1" t="s">
        <v>5</v>
      </c>
      <c r="Q3" s="1" t="s">
        <v>7</v>
      </c>
      <c r="U3" s="1" t="s">
        <v>11</v>
      </c>
      <c r="Y3" s="1" t="s">
        <v>13</v>
      </c>
      <c r="AC3" s="1" t="s">
        <v>14</v>
      </c>
    </row>
    <row r="4" spans="1:31" x14ac:dyDescent="0.25">
      <c r="A4" t="s">
        <v>0</v>
      </c>
      <c r="B4" t="s">
        <v>1</v>
      </c>
      <c r="C4" t="s">
        <v>2</v>
      </c>
      <c r="E4" t="s">
        <v>0</v>
      </c>
      <c r="F4" t="s">
        <v>1</v>
      </c>
      <c r="G4" t="s">
        <v>2</v>
      </c>
      <c r="I4" t="s">
        <v>0</v>
      </c>
      <c r="J4" t="s">
        <v>1</v>
      </c>
      <c r="K4" t="s">
        <v>2</v>
      </c>
      <c r="M4" t="s">
        <v>0</v>
      </c>
      <c r="N4" t="s">
        <v>1</v>
      </c>
      <c r="O4" t="s">
        <v>2</v>
      </c>
      <c r="Q4" s="4" t="s">
        <v>0</v>
      </c>
      <c r="R4" s="4" t="s">
        <v>1</v>
      </c>
      <c r="S4" s="4" t="s">
        <v>2</v>
      </c>
      <c r="U4" t="s">
        <v>0</v>
      </c>
      <c r="V4" t="s">
        <v>1</v>
      </c>
      <c r="W4" t="s">
        <v>2</v>
      </c>
      <c r="Y4" t="s">
        <v>0</v>
      </c>
      <c r="Z4" t="s">
        <v>1</v>
      </c>
      <c r="AA4" t="s">
        <v>2</v>
      </c>
      <c r="AC4" t="s">
        <v>0</v>
      </c>
      <c r="AD4" t="s">
        <v>1</v>
      </c>
      <c r="AE4" t="s">
        <v>2</v>
      </c>
    </row>
    <row r="5" spans="1:31" x14ac:dyDescent="0.25">
      <c r="A5">
        <v>1</v>
      </c>
      <c r="B5" s="2">
        <v>36.937635100000001</v>
      </c>
      <c r="C5">
        <f>AVERAGE(B5:B9)</f>
        <v>35.9837621</v>
      </c>
      <c r="E5">
        <v>1</v>
      </c>
      <c r="F5" s="2">
        <v>131.23748209999999</v>
      </c>
      <c r="G5">
        <f>AVERAGE(F5:F9)</f>
        <v>129.72557179999998</v>
      </c>
      <c r="I5">
        <v>1</v>
      </c>
      <c r="J5" s="2">
        <v>320.76780830000001</v>
      </c>
      <c r="K5">
        <f>AVERAGE(J5:J9)</f>
        <v>313.59523102499998</v>
      </c>
      <c r="M5">
        <v>1</v>
      </c>
      <c r="N5" s="2">
        <v>2.7814000000000001</v>
      </c>
      <c r="O5">
        <f>AVERAGE(N5:N9)</f>
        <v>2.79095</v>
      </c>
      <c r="Q5" s="4">
        <v>1</v>
      </c>
      <c r="R5" s="2">
        <v>40.441341299999998</v>
      </c>
      <c r="S5" s="4">
        <f>AVERAGE(R5:R9)</f>
        <v>41.531640875000001</v>
      </c>
      <c r="U5">
        <v>1</v>
      </c>
      <c r="V5" s="2">
        <v>2.7063999999999999</v>
      </c>
      <c r="W5">
        <f>AVERAGE(V5:V9)</f>
        <v>2.6977800000000003</v>
      </c>
      <c r="Y5">
        <v>1</v>
      </c>
      <c r="Z5" s="2">
        <v>33.350299999999997</v>
      </c>
      <c r="AA5">
        <f>AVERAGE(Z5:Z9)</f>
        <v>33.352133333333335</v>
      </c>
      <c r="AC5">
        <v>1</v>
      </c>
      <c r="AD5" s="2">
        <v>23.103400000000001</v>
      </c>
      <c r="AE5">
        <f>AVERAGE(AD5:AD9)</f>
        <v>21.666699999999999</v>
      </c>
    </row>
    <row r="6" spans="1:31" x14ac:dyDescent="0.25">
      <c r="A6">
        <v>2</v>
      </c>
      <c r="B6" s="2">
        <v>39.298921999999997</v>
      </c>
      <c r="C6">
        <f>C5/C5</f>
        <v>1</v>
      </c>
      <c r="E6">
        <v>2</v>
      </c>
      <c r="F6" s="2">
        <v>130.9730357</v>
      </c>
      <c r="G6">
        <f>C5/G5</f>
        <v>0.27738372319897536</v>
      </c>
      <c r="I6">
        <v>2</v>
      </c>
      <c r="J6" s="2">
        <v>325.80213379999998</v>
      </c>
      <c r="K6">
        <f>C5/K5</f>
        <v>0.11474588431203329</v>
      </c>
      <c r="M6">
        <v>2</v>
      </c>
      <c r="N6" s="2">
        <v>2.7881999999999998</v>
      </c>
      <c r="O6">
        <f>$C5/O5</f>
        <v>12.893015675665991</v>
      </c>
      <c r="Q6" s="4">
        <v>2</v>
      </c>
      <c r="R6" s="2">
        <v>41.885989000000002</v>
      </c>
      <c r="S6" s="4">
        <f>C5/S5</f>
        <v>0.86641802110112265</v>
      </c>
      <c r="U6">
        <v>2</v>
      </c>
      <c r="V6" s="2">
        <v>2.6959</v>
      </c>
      <c r="W6">
        <f>$C5/W5</f>
        <v>13.338286331724602</v>
      </c>
      <c r="Y6">
        <v>2</v>
      </c>
      <c r="Z6" s="2">
        <v>33.430799999999998</v>
      </c>
      <c r="AA6">
        <f>$C5/AA5</f>
        <v>1.0789043609404296</v>
      </c>
      <c r="AC6">
        <v>2</v>
      </c>
      <c r="AD6" s="2">
        <v>21.234400000000001</v>
      </c>
      <c r="AE6">
        <f>$C5/AE5</f>
        <v>1.6607864649439001</v>
      </c>
    </row>
    <row r="7" spans="1:31" x14ac:dyDescent="0.25">
      <c r="A7">
        <v>3</v>
      </c>
      <c r="B7" s="2">
        <v>34.885973800000002</v>
      </c>
      <c r="E7">
        <v>3</v>
      </c>
      <c r="F7" s="2">
        <v>129.86412100000001</v>
      </c>
      <c r="I7">
        <v>3</v>
      </c>
      <c r="J7" s="2">
        <v>302.92680510000002</v>
      </c>
      <c r="M7">
        <v>3</v>
      </c>
      <c r="N7" s="2">
        <v>2.8123999999999998</v>
      </c>
      <c r="Q7" s="4">
        <v>3</v>
      </c>
      <c r="R7" s="2">
        <v>41.268031200000003</v>
      </c>
      <c r="U7">
        <v>3</v>
      </c>
      <c r="V7" s="2">
        <v>2.6936</v>
      </c>
      <c r="Y7">
        <v>3</v>
      </c>
      <c r="Z7" s="2">
        <v>33.275300000000001</v>
      </c>
      <c r="AC7">
        <v>3</v>
      </c>
      <c r="AD7" s="2">
        <v>21.171500000000002</v>
      </c>
    </row>
    <row r="8" spans="1:31" x14ac:dyDescent="0.25">
      <c r="A8">
        <v>4</v>
      </c>
      <c r="B8" s="2">
        <v>34.409416</v>
      </c>
      <c r="E8">
        <v>4</v>
      </c>
      <c r="F8" s="2">
        <v>128.16773610000001</v>
      </c>
      <c r="I8">
        <v>4</v>
      </c>
      <c r="J8" s="2">
        <v>304.8841769</v>
      </c>
      <c r="M8">
        <v>4</v>
      </c>
      <c r="N8" s="2">
        <v>2.7818000000000001</v>
      </c>
      <c r="Q8" s="4">
        <v>4</v>
      </c>
      <c r="R8" s="2">
        <v>42.531202</v>
      </c>
      <c r="U8">
        <v>4</v>
      </c>
      <c r="V8" s="2">
        <v>2.6903000000000001</v>
      </c>
      <c r="Y8">
        <v>4</v>
      </c>
      <c r="Z8" s="2"/>
      <c r="AC8">
        <v>4</v>
      </c>
      <c r="AD8" s="2">
        <v>21.157499999999999</v>
      </c>
    </row>
    <row r="9" spans="1:31" x14ac:dyDescent="0.25">
      <c r="A9">
        <v>5</v>
      </c>
      <c r="B9" s="2">
        <v>34.386863599999998</v>
      </c>
      <c r="E9">
        <v>5</v>
      </c>
      <c r="F9">
        <v>128.38548410000001</v>
      </c>
      <c r="I9">
        <v>5</v>
      </c>
      <c r="J9" s="2"/>
      <c r="M9">
        <v>5</v>
      </c>
      <c r="N9" s="2"/>
      <c r="Q9" s="4">
        <v>5</v>
      </c>
      <c r="R9" s="2"/>
      <c r="U9">
        <v>5</v>
      </c>
      <c r="V9" s="2">
        <v>2.7027000000000001</v>
      </c>
      <c r="Y9">
        <v>5</v>
      </c>
      <c r="Z9" s="2"/>
      <c r="AC9">
        <v>5</v>
      </c>
      <c r="AD9" s="2"/>
    </row>
    <row r="10" spans="1:31" x14ac:dyDescent="0.25">
      <c r="B10" s="2"/>
      <c r="J10" s="2"/>
      <c r="N10" s="2"/>
      <c r="R10" s="2"/>
      <c r="V10" s="2"/>
      <c r="Z10" s="2"/>
      <c r="AD10" s="2"/>
    </row>
    <row r="11" spans="1:31" x14ac:dyDescent="0.25">
      <c r="B11" s="2"/>
      <c r="J11" s="2"/>
      <c r="N11" s="2"/>
      <c r="R11" s="2"/>
      <c r="V11" s="2"/>
      <c r="Z11" s="2"/>
      <c r="AD11" s="2"/>
    </row>
    <row r="12" spans="1:31" x14ac:dyDescent="0.25">
      <c r="B12" s="2"/>
      <c r="J12" s="2"/>
      <c r="N12" s="2"/>
      <c r="R12" s="2"/>
      <c r="U12" s="1" t="s">
        <v>17</v>
      </c>
      <c r="Y12" s="1" t="s">
        <v>16</v>
      </c>
      <c r="AC12" s="1"/>
    </row>
    <row r="13" spans="1:31" x14ac:dyDescent="0.25">
      <c r="B13" s="2"/>
      <c r="J13" s="2"/>
      <c r="N13" s="2"/>
      <c r="R13" s="2"/>
      <c r="U13" t="s">
        <v>0</v>
      </c>
      <c r="V13" t="s">
        <v>1</v>
      </c>
      <c r="W13" t="s">
        <v>2</v>
      </c>
      <c r="Y13" t="s">
        <v>0</v>
      </c>
      <c r="Z13" t="s">
        <v>1</v>
      </c>
      <c r="AA13" t="s">
        <v>2</v>
      </c>
    </row>
    <row r="14" spans="1:31" x14ac:dyDescent="0.25">
      <c r="U14">
        <v>1</v>
      </c>
      <c r="V14" s="2">
        <v>0.85528689999999996</v>
      </c>
      <c r="W14">
        <f>AVERAGE(V14:V18)</f>
        <v>0.8111167199999999</v>
      </c>
      <c r="Y14">
        <v>1</v>
      </c>
      <c r="Z14" s="2">
        <v>9.9424308999999997</v>
      </c>
      <c r="AA14">
        <f>AVERAGE(Z14:Z18)</f>
        <v>9.9388462000000004</v>
      </c>
      <c r="AD14" s="2"/>
    </row>
    <row r="15" spans="1:31" x14ac:dyDescent="0.25">
      <c r="U15">
        <v>2</v>
      </c>
      <c r="V15" s="5">
        <v>0.80430029999999997</v>
      </c>
      <c r="W15">
        <f>$C14/W14</f>
        <v>0</v>
      </c>
      <c r="Y15">
        <v>2</v>
      </c>
      <c r="Z15" s="5">
        <v>9.8746258999999998</v>
      </c>
      <c r="AD15" s="2"/>
    </row>
    <row r="16" spans="1:31" x14ac:dyDescent="0.25">
      <c r="U16">
        <v>3</v>
      </c>
      <c r="V16" s="5">
        <v>0.78955019999999998</v>
      </c>
      <c r="Y16">
        <v>3</v>
      </c>
      <c r="Z16" s="5">
        <v>9.9968880000000002</v>
      </c>
      <c r="AD16" s="2"/>
    </row>
    <row r="17" spans="1:30" x14ac:dyDescent="0.25">
      <c r="U17">
        <v>4</v>
      </c>
      <c r="V17" s="5">
        <v>0.79723259999999996</v>
      </c>
      <c r="Y17">
        <v>4</v>
      </c>
      <c r="Z17" s="5">
        <v>9.9795026999999994</v>
      </c>
      <c r="AD17" s="2"/>
    </row>
    <row r="18" spans="1:30" x14ac:dyDescent="0.25">
      <c r="U18">
        <v>5</v>
      </c>
      <c r="V18" s="5">
        <v>0.80921359999999998</v>
      </c>
      <c r="Y18">
        <v>5</v>
      </c>
      <c r="Z18" s="5">
        <v>9.9007834999999993</v>
      </c>
      <c r="AD18" s="2"/>
    </row>
    <row r="20" spans="1:30" x14ac:dyDescent="0.25">
      <c r="A20" s="3" t="s">
        <v>12</v>
      </c>
    </row>
    <row r="22" spans="1:30" x14ac:dyDescent="0.25">
      <c r="A22" s="1" t="s">
        <v>6</v>
      </c>
      <c r="E22" s="1" t="s">
        <v>3</v>
      </c>
      <c r="I22" s="1" t="s">
        <v>4</v>
      </c>
      <c r="M22" s="1" t="s">
        <v>5</v>
      </c>
      <c r="Q22" s="1" t="s">
        <v>7</v>
      </c>
      <c r="U22" s="1" t="s">
        <v>11</v>
      </c>
      <c r="Y22" s="1" t="s">
        <v>13</v>
      </c>
    </row>
    <row r="23" spans="1:30" x14ac:dyDescent="0.25">
      <c r="A23" t="s">
        <v>0</v>
      </c>
      <c r="B23" t="s">
        <v>1</v>
      </c>
      <c r="C23" t="s">
        <v>2</v>
      </c>
      <c r="E23" t="s">
        <v>0</v>
      </c>
      <c r="F23" t="s">
        <v>1</v>
      </c>
      <c r="G23" t="s">
        <v>2</v>
      </c>
      <c r="I23" t="s">
        <v>0</v>
      </c>
      <c r="J23" t="s">
        <v>1</v>
      </c>
      <c r="K23" t="s">
        <v>2</v>
      </c>
      <c r="M23" t="s">
        <v>0</v>
      </c>
      <c r="N23" t="s">
        <v>1</v>
      </c>
      <c r="O23" t="s">
        <v>2</v>
      </c>
      <c r="Q23" s="4" t="s">
        <v>0</v>
      </c>
      <c r="R23" s="4" t="s">
        <v>1</v>
      </c>
      <c r="S23" s="4" t="s">
        <v>2</v>
      </c>
      <c r="U23" t="s">
        <v>0</v>
      </c>
      <c r="V23" t="s">
        <v>1</v>
      </c>
      <c r="W23" t="s">
        <v>2</v>
      </c>
      <c r="Y23" t="s">
        <v>0</v>
      </c>
      <c r="Z23" t="s">
        <v>1</v>
      </c>
      <c r="AA23" t="s">
        <v>2</v>
      </c>
    </row>
    <row r="24" spans="1:30" x14ac:dyDescent="0.25">
      <c r="A24">
        <v>1</v>
      </c>
      <c r="B24" s="2">
        <v>55.112000000000002</v>
      </c>
      <c r="C24">
        <f>AVERAGE(B24:B28)</f>
        <v>52.205900000000007</v>
      </c>
      <c r="E24">
        <v>1</v>
      </c>
      <c r="F24">
        <v>206.27350000000001</v>
      </c>
      <c r="G24">
        <f>AVERAGE(F24:F28)</f>
        <v>205.15105</v>
      </c>
      <c r="I24">
        <v>1</v>
      </c>
      <c r="J24" s="2">
        <v>803.86540000000002</v>
      </c>
      <c r="K24">
        <f>AVERAGE(J24:J28)</f>
        <v>803.86540000000002</v>
      </c>
      <c r="M24">
        <v>1</v>
      </c>
      <c r="N24" s="2">
        <v>4.1512500000000001</v>
      </c>
      <c r="O24">
        <f>AVERAGE(N24:N28)</f>
        <v>4.0094833333333328</v>
      </c>
      <c r="Q24" s="4">
        <v>1</v>
      </c>
      <c r="R24" s="2">
        <v>70.681299999999993</v>
      </c>
      <c r="S24" s="4">
        <f>AVERAGE(R24:R28)</f>
        <v>70.217775000000003</v>
      </c>
      <c r="U24">
        <v>1</v>
      </c>
      <c r="V24" s="2">
        <v>4.5605994000000001</v>
      </c>
      <c r="W24">
        <f>AVERAGE(V24:V28)</f>
        <v>4.5594371749999993</v>
      </c>
      <c r="Y24">
        <v>1</v>
      </c>
      <c r="Z24" s="2"/>
      <c r="AA24" t="e">
        <f>AVERAGE(Z24:Z28)</f>
        <v>#DIV/0!</v>
      </c>
    </row>
    <row r="25" spans="1:30" x14ac:dyDescent="0.25">
      <c r="A25">
        <v>2</v>
      </c>
      <c r="B25" s="2">
        <v>50.055999999999997</v>
      </c>
      <c r="C25">
        <f>C24/C24</f>
        <v>1</v>
      </c>
      <c r="E25">
        <v>2</v>
      </c>
      <c r="F25" s="2">
        <v>204.02860000000001</v>
      </c>
      <c r="G25">
        <f>C24/G24</f>
        <v>0.25447542189035838</v>
      </c>
      <c r="I25">
        <v>2</v>
      </c>
      <c r="J25" s="2"/>
      <c r="K25">
        <f>C24/K24</f>
        <v>6.4943583838786942E-2</v>
      </c>
      <c r="M25">
        <v>2</v>
      </c>
      <c r="N25" s="2">
        <v>3.9470000000000001</v>
      </c>
      <c r="O25">
        <f>$C24/O24</f>
        <v>13.020605314899264</v>
      </c>
      <c r="Q25" s="4">
        <v>2</v>
      </c>
      <c r="R25" s="2">
        <v>70.389799999999994</v>
      </c>
      <c r="S25" s="4">
        <f>C24/S24</f>
        <v>0.74348553482362556</v>
      </c>
      <c r="U25">
        <v>2</v>
      </c>
      <c r="V25" s="2">
        <v>4.5527160999999996</v>
      </c>
      <c r="W25">
        <f>$C24/W24</f>
        <v>11.45007552385016</v>
      </c>
      <c r="Y25">
        <v>2</v>
      </c>
      <c r="Z25" s="2"/>
      <c r="AA25" t="e">
        <f>$C24/AA24</f>
        <v>#DIV/0!</v>
      </c>
    </row>
    <row r="26" spans="1:30" x14ac:dyDescent="0.25">
      <c r="A26">
        <v>3</v>
      </c>
      <c r="B26" s="2">
        <v>51.4497</v>
      </c>
      <c r="E26">
        <v>3</v>
      </c>
      <c r="F26" s="2"/>
      <c r="I26">
        <v>3</v>
      </c>
      <c r="J26" s="2"/>
      <c r="M26">
        <v>3</v>
      </c>
      <c r="N26" s="2">
        <v>3.9302000000000001</v>
      </c>
      <c r="Q26" s="4">
        <v>3</v>
      </c>
      <c r="R26" s="2">
        <v>70.117999999999995</v>
      </c>
      <c r="U26">
        <v>3</v>
      </c>
      <c r="V26" s="2">
        <v>4.5561670999999997</v>
      </c>
      <c r="Y26">
        <v>3</v>
      </c>
      <c r="Z26" s="2"/>
    </row>
    <row r="27" spans="1:30" x14ac:dyDescent="0.25">
      <c r="A27">
        <v>4</v>
      </c>
      <c r="B27" s="2"/>
      <c r="E27">
        <v>4</v>
      </c>
      <c r="F27" s="2"/>
      <c r="I27">
        <v>4</v>
      </c>
      <c r="J27" s="2"/>
      <c r="M27">
        <v>4</v>
      </c>
      <c r="N27" s="2"/>
      <c r="Q27" s="4">
        <v>4</v>
      </c>
      <c r="R27" s="2">
        <v>69.682000000000002</v>
      </c>
      <c r="U27">
        <v>4</v>
      </c>
      <c r="V27" s="2">
        <v>4.5682660999999998</v>
      </c>
      <c r="Y27">
        <v>4</v>
      </c>
      <c r="Z27" s="2"/>
    </row>
    <row r="28" spans="1:30" x14ac:dyDescent="0.25">
      <c r="A28">
        <v>5</v>
      </c>
      <c r="B28" s="2"/>
      <c r="E28">
        <v>5</v>
      </c>
      <c r="I28">
        <v>5</v>
      </c>
      <c r="J28" s="2"/>
      <c r="M28">
        <v>5</v>
      </c>
      <c r="N28" s="2"/>
      <c r="Q28" s="4">
        <v>5</v>
      </c>
      <c r="R28" s="2"/>
      <c r="U28">
        <v>5</v>
      </c>
      <c r="V28" s="2"/>
      <c r="Y28">
        <v>5</v>
      </c>
      <c r="Z28" s="2"/>
    </row>
    <row r="34" spans="1:19" x14ac:dyDescent="0.25">
      <c r="A34" s="3" t="s">
        <v>9</v>
      </c>
    </row>
    <row r="35" spans="1:19" x14ac:dyDescent="0.25">
      <c r="A35" s="1" t="s">
        <v>6</v>
      </c>
      <c r="E35" s="1" t="s">
        <v>3</v>
      </c>
      <c r="I35" s="1" t="s">
        <v>4</v>
      </c>
      <c r="M35" s="1" t="s">
        <v>5</v>
      </c>
      <c r="Q35" s="1" t="s">
        <v>7</v>
      </c>
    </row>
    <row r="36" spans="1:19" x14ac:dyDescent="0.25">
      <c r="A36" t="s">
        <v>0</v>
      </c>
      <c r="B36" t="s">
        <v>1</v>
      </c>
      <c r="C36" t="s">
        <v>2</v>
      </c>
      <c r="E36" t="s">
        <v>0</v>
      </c>
      <c r="F36" t="s">
        <v>1</v>
      </c>
      <c r="G36" t="s">
        <v>2</v>
      </c>
      <c r="I36" t="s">
        <v>0</v>
      </c>
      <c r="J36" t="s">
        <v>1</v>
      </c>
      <c r="K36" t="s">
        <v>2</v>
      </c>
      <c r="M36" t="s">
        <v>0</v>
      </c>
      <c r="N36" t="s">
        <v>1</v>
      </c>
      <c r="O36" t="s">
        <v>2</v>
      </c>
      <c r="Q36" s="4" t="s">
        <v>0</v>
      </c>
      <c r="R36" s="4" t="s">
        <v>1</v>
      </c>
      <c r="S36" s="4" t="s">
        <v>2</v>
      </c>
    </row>
    <row r="37" spans="1:19" x14ac:dyDescent="0.25">
      <c r="A37">
        <v>1</v>
      </c>
      <c r="B37" s="2">
        <v>12.9051846</v>
      </c>
      <c r="C37">
        <f>AVERAGE(B37:B41)</f>
        <v>11.7480817</v>
      </c>
      <c r="E37">
        <v>1</v>
      </c>
      <c r="F37" s="2">
        <v>27.832980299999999</v>
      </c>
      <c r="G37">
        <f>AVERAGE(F37:F41)</f>
        <v>28.211595580000001</v>
      </c>
      <c r="I37">
        <v>1</v>
      </c>
      <c r="J37" s="2">
        <v>3.0337903000000002</v>
      </c>
      <c r="K37">
        <f>AVERAGE(J37:J41)</f>
        <v>3.1686043200000005</v>
      </c>
      <c r="M37">
        <v>1</v>
      </c>
      <c r="N37" s="2">
        <v>0.6701414</v>
      </c>
      <c r="O37">
        <f>AVERAGE(N37:N41)</f>
        <v>0.64631605999999997</v>
      </c>
      <c r="Q37" s="4">
        <v>1</v>
      </c>
      <c r="R37" s="2">
        <v>6.9066023000000003</v>
      </c>
      <c r="S37" s="4">
        <f>AVERAGE(R37:R41)</f>
        <v>7.0107085400000004</v>
      </c>
    </row>
    <row r="38" spans="1:19" x14ac:dyDescent="0.25">
      <c r="A38">
        <v>2</v>
      </c>
      <c r="B38" s="2">
        <v>11.5097267</v>
      </c>
      <c r="C38">
        <f>C37/C37</f>
        <v>1</v>
      </c>
      <c r="E38">
        <v>2</v>
      </c>
      <c r="F38" s="2">
        <v>28.2076177</v>
      </c>
      <c r="G38">
        <f>C37/G37</f>
        <v>0.41642741073208023</v>
      </c>
      <c r="I38">
        <v>2</v>
      </c>
      <c r="J38" s="2">
        <v>3.4827039000000002</v>
      </c>
      <c r="K38">
        <f>C37/K37</f>
        <v>3.7076518597942196</v>
      </c>
      <c r="M38">
        <v>2</v>
      </c>
      <c r="N38" s="2">
        <v>0.63423160000000001</v>
      </c>
      <c r="O38">
        <f>$C37/O37</f>
        <v>18.176991764679343</v>
      </c>
      <c r="Q38" s="4">
        <v>2</v>
      </c>
      <c r="R38" s="2">
        <v>7.1929869000000002</v>
      </c>
      <c r="S38" s="4">
        <f>C37/S37</f>
        <v>1.6757338624149962</v>
      </c>
    </row>
    <row r="39" spans="1:19" x14ac:dyDescent="0.25">
      <c r="A39">
        <v>3</v>
      </c>
      <c r="B39" s="2">
        <v>11.390863700000001</v>
      </c>
      <c r="E39">
        <v>3</v>
      </c>
      <c r="F39" s="2">
        <v>28.296152299999999</v>
      </c>
      <c r="I39">
        <v>3</v>
      </c>
      <c r="J39" s="2">
        <v>3.2079947</v>
      </c>
      <c r="M39">
        <v>3</v>
      </c>
      <c r="N39" s="2">
        <v>0.63504179999999999</v>
      </c>
      <c r="Q39" s="4">
        <v>3</v>
      </c>
      <c r="R39" s="2">
        <v>7.0473226000000002</v>
      </c>
    </row>
    <row r="40" spans="1:19" x14ac:dyDescent="0.25">
      <c r="A40">
        <v>4</v>
      </c>
      <c r="B40" s="2">
        <v>11.5226259</v>
      </c>
      <c r="E40">
        <v>4</v>
      </c>
      <c r="F40" s="2">
        <v>28.410110700000001</v>
      </c>
      <c r="I40">
        <v>4</v>
      </c>
      <c r="J40" s="2">
        <v>3.0673897999999999</v>
      </c>
      <c r="M40">
        <v>4</v>
      </c>
      <c r="N40" s="2">
        <v>0.65421640000000003</v>
      </c>
      <c r="Q40" s="4">
        <v>4</v>
      </c>
      <c r="R40" s="2">
        <v>6.9598605999999998</v>
      </c>
    </row>
    <row r="41" spans="1:19" x14ac:dyDescent="0.25">
      <c r="A41">
        <v>5</v>
      </c>
      <c r="B41" s="2">
        <v>11.412007600000001</v>
      </c>
      <c r="E41">
        <v>5</v>
      </c>
      <c r="F41">
        <v>28.311116899999998</v>
      </c>
      <c r="I41">
        <v>5</v>
      </c>
      <c r="J41" s="2">
        <v>3.0511428999999999</v>
      </c>
      <c r="M41">
        <v>5</v>
      </c>
      <c r="N41" s="2">
        <v>0.63794910000000005</v>
      </c>
      <c r="Q41" s="4">
        <v>5</v>
      </c>
      <c r="R41" s="2">
        <v>6.9467702999999998</v>
      </c>
    </row>
    <row r="47" spans="1:19" x14ac:dyDescent="0.25">
      <c r="A47" s="3" t="s">
        <v>8</v>
      </c>
    </row>
    <row r="48" spans="1:19" x14ac:dyDescent="0.25">
      <c r="A48" s="1" t="s">
        <v>6</v>
      </c>
      <c r="E48" s="1" t="s">
        <v>3</v>
      </c>
      <c r="I48" s="1" t="s">
        <v>4</v>
      </c>
      <c r="M48" s="1" t="s">
        <v>5</v>
      </c>
      <c r="Q48" s="1" t="s">
        <v>7</v>
      </c>
    </row>
    <row r="49" spans="1:19" x14ac:dyDescent="0.25">
      <c r="A49" t="s">
        <v>0</v>
      </c>
      <c r="B49" t="s">
        <v>1</v>
      </c>
      <c r="C49" t="s">
        <v>2</v>
      </c>
      <c r="E49" t="s">
        <v>0</v>
      </c>
      <c r="F49" t="s">
        <v>1</v>
      </c>
      <c r="G49" t="s">
        <v>2</v>
      </c>
      <c r="I49" t="s">
        <v>0</v>
      </c>
      <c r="J49" t="s">
        <v>1</v>
      </c>
      <c r="K49" t="s">
        <v>2</v>
      </c>
      <c r="M49" t="s">
        <v>0</v>
      </c>
      <c r="N49" t="s">
        <v>1</v>
      </c>
      <c r="O49" t="s">
        <v>2</v>
      </c>
      <c r="Q49" s="4" t="s">
        <v>0</v>
      </c>
      <c r="R49" s="4" t="s">
        <v>1</v>
      </c>
      <c r="S49" s="4" t="s">
        <v>2</v>
      </c>
    </row>
    <row r="50" spans="1:19" x14ac:dyDescent="0.25">
      <c r="A50">
        <v>1</v>
      </c>
      <c r="B50" s="2">
        <v>9.4505835999999999</v>
      </c>
      <c r="C50">
        <f>AVERAGE(B50:B54)</f>
        <v>9.3554741200000002</v>
      </c>
      <c r="E50">
        <v>1</v>
      </c>
      <c r="F50" s="2">
        <v>9.7207059999999998</v>
      </c>
      <c r="G50">
        <f>AVERAGE(F50:F54)</f>
        <v>9.6290380500000019</v>
      </c>
      <c r="I50">
        <v>1</v>
      </c>
      <c r="J50" s="2">
        <v>3.3245572000000001</v>
      </c>
      <c r="K50">
        <f>AVERAGE(J50:J54)</f>
        <v>3.31331665</v>
      </c>
      <c r="M50">
        <v>1</v>
      </c>
      <c r="N50" s="2">
        <v>1.1668345</v>
      </c>
      <c r="O50">
        <f>AVERAGE(N50:N54)</f>
        <v>1.1602948500000001</v>
      </c>
      <c r="Q50" s="4">
        <v>1</v>
      </c>
      <c r="R50" s="2">
        <v>7.6016683</v>
      </c>
      <c r="S50" s="4">
        <f>AVERAGE(R50:R54)</f>
        <v>7.6259174500000011</v>
      </c>
    </row>
    <row r="51" spans="1:19" x14ac:dyDescent="0.25">
      <c r="A51">
        <v>2</v>
      </c>
      <c r="B51" s="2">
        <v>9.1191365999999991</v>
      </c>
      <c r="C51">
        <f>C50/C50</f>
        <v>1</v>
      </c>
      <c r="E51">
        <v>2</v>
      </c>
      <c r="F51" s="2">
        <v>9.6332225000000005</v>
      </c>
      <c r="G51">
        <f>C50/G50</f>
        <v>0.97158969270040407</v>
      </c>
      <c r="I51">
        <v>2</v>
      </c>
      <c r="J51" s="2">
        <v>3.2784597</v>
      </c>
      <c r="K51">
        <f>C50/K50</f>
        <v>2.8235979558428261</v>
      </c>
      <c r="M51">
        <v>2</v>
      </c>
      <c r="N51" s="2">
        <v>1.1442000000000001</v>
      </c>
      <c r="O51">
        <f>$C$50/O50</f>
        <v>8.0630144312025518</v>
      </c>
      <c r="Q51" s="4">
        <v>2</v>
      </c>
      <c r="R51" s="2">
        <v>7.5501905999999996</v>
      </c>
      <c r="S51" s="4">
        <f>C50/S50</f>
        <v>1.2267998154110622</v>
      </c>
    </row>
    <row r="52" spans="1:19" x14ac:dyDescent="0.25">
      <c r="A52">
        <v>3</v>
      </c>
      <c r="B52" s="2">
        <v>9.0620712000000001</v>
      </c>
      <c r="E52">
        <v>3</v>
      </c>
      <c r="F52" s="2">
        <v>9.5546500000000005</v>
      </c>
      <c r="I52">
        <v>3</v>
      </c>
      <c r="J52" s="2">
        <v>3.3049371000000001</v>
      </c>
      <c r="M52">
        <v>3</v>
      </c>
      <c r="N52" s="2">
        <v>1.1779754</v>
      </c>
      <c r="Q52" s="4">
        <v>3</v>
      </c>
      <c r="R52" s="2">
        <v>7.5839403000000001</v>
      </c>
    </row>
    <row r="53" spans="1:19" x14ac:dyDescent="0.25">
      <c r="A53">
        <v>4</v>
      </c>
      <c r="B53" s="2">
        <v>9.9545288000000003</v>
      </c>
      <c r="E53">
        <v>4</v>
      </c>
      <c r="F53" s="2">
        <v>9.6075736999999997</v>
      </c>
      <c r="I53">
        <v>4</v>
      </c>
      <c r="J53" s="2">
        <v>3.3453126000000002</v>
      </c>
      <c r="M53">
        <v>4</v>
      </c>
      <c r="N53" s="2">
        <v>1.1521695000000001</v>
      </c>
      <c r="Q53" s="4">
        <v>4</v>
      </c>
      <c r="R53" s="2">
        <v>7.7678706000000002</v>
      </c>
    </row>
    <row r="54" spans="1:19" x14ac:dyDescent="0.25">
      <c r="A54">
        <v>5</v>
      </c>
      <c r="B54" s="2">
        <v>9.1910504</v>
      </c>
      <c r="E54">
        <v>5</v>
      </c>
      <c r="I54">
        <v>5</v>
      </c>
      <c r="J54" s="2"/>
      <c r="M54">
        <v>5</v>
      </c>
      <c r="N54" s="2"/>
      <c r="Q54" s="4">
        <v>5</v>
      </c>
      <c r="R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Shi, Liang</cp:lastModifiedBy>
  <dcterms:created xsi:type="dcterms:W3CDTF">2015-06-05T18:17:20Z</dcterms:created>
  <dcterms:modified xsi:type="dcterms:W3CDTF">2026-06-05T17:43:09Z</dcterms:modified>
</cp:coreProperties>
</file>